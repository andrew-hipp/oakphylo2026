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sampling" sheetId="1" r:id="rId4"/>
    <sheet state="visible" name="Full_pseudoreference_info" sheetId="2" r:id="rId5"/>
    <sheet state="visible" name="Notes" sheetId="3" r:id="rId6"/>
    <sheet state="visible" name="Over-represented seqs" sheetId="4" r:id="rId7"/>
    <sheet state="visible" name="Samples from Rebekah" sheetId="5" r:id="rId8"/>
    <sheet state="visible" name="sra_result-2" sheetId="6" r:id="rId9"/>
    <sheet state="visible" name="Zhou et al S1" sheetId="7" r:id="rId10"/>
    <sheet state="visible" name="DSUITE" sheetId="8" r:id="rId11"/>
  </sheets>
  <definedNames/>
  <calcPr/>
  <extLst>
    <ext uri="GoogleSheetsCustomDataVersion2">
      <go:sheetsCustomData xmlns:go="http://customooxmlschemas.google.com/" r:id="rId12" roundtripDataChecksum="t3rX/X0w9gQSyXyb/yY7WeytjP/kuYyktSutLifdkJo="/>
    </ext>
  </extLst>
</workbook>
</file>

<file path=xl/sharedStrings.xml><?xml version="1.0" encoding="utf-8"?>
<sst xmlns="http://schemas.openxmlformats.org/spreadsheetml/2006/main" count="5914" uniqueCount="1719">
  <si>
    <t>Sample Name</t>
  </si>
  <si>
    <t>Organism Name</t>
  </si>
  <si>
    <t>Subgenus</t>
  </si>
  <si>
    <t>Section</t>
  </si>
  <si>
    <t>pct_missing 
(Q. alba psuedo-reference)</t>
  </si>
  <si>
    <t>pct_missing 
(Q. var psuedo-reference)</t>
  </si>
  <si>
    <t>Depth Chr1-12 (Qalba)</t>
  </si>
  <si>
    <t>Depth Chr1-12 (Qvar)</t>
  </si>
  <si>
    <t>Mil. sites called per 1x cov.
(Q. alba)</t>
  </si>
  <si>
    <t>Mil. sites called per 1x cov.
(Q. var)</t>
  </si>
  <si>
    <t>Est. coverage (NCBI)</t>
  </si>
  <si>
    <t>Source</t>
  </si>
  <si>
    <t>SRA Run (NCBI)</t>
  </si>
  <si>
    <t>Experiment Accession (NCBI)</t>
  </si>
  <si>
    <t>Experiment Title (NCBI)</t>
  </si>
  <si>
    <t>Instrument (NCBI)</t>
  </si>
  <si>
    <t>Submitter (NCBI)</t>
  </si>
  <si>
    <t>Study Accession (NCBI)</t>
  </si>
  <si>
    <t>Study Title (NCBI)</t>
  </si>
  <si>
    <t>Sample Accession (NCBI)</t>
  </si>
  <si>
    <t>File size (Gigabytes; NCBI)</t>
  </si>
  <si>
    <t>Total Spots (NCBI)</t>
  </si>
  <si>
    <t>Total Bases (NCBI)</t>
  </si>
  <si>
    <t>Library Name (NCBI)</t>
  </si>
  <si>
    <t>Library Strategy (NCBI)</t>
  </si>
  <si>
    <t>Library Source (NCBI)</t>
  </si>
  <si>
    <t>Library Selection (NCBI)</t>
  </si>
  <si>
    <t>SRR16248155</t>
  </si>
  <si>
    <t>Quercus acutissima</t>
  </si>
  <si>
    <t>Cerris</t>
  </si>
  <si>
    <t>SRA</t>
  </si>
  <si>
    <t>SRX12527934</t>
  </si>
  <si>
    <t>WGS of three oaks species</t>
  </si>
  <si>
    <t>Illumina NovaSeq 6000</t>
  </si>
  <si>
    <t>Chinese Academy of Sciences</t>
  </si>
  <si>
    <t>SRP340491</t>
  </si>
  <si>
    <t>Whole-genome re-sequencing of three oaks species</t>
  </si>
  <si>
    <t>SRS10488197</t>
  </si>
  <si>
    <t>s0713-2-6_NDSW49930</t>
  </si>
  <si>
    <t>WGS</t>
  </si>
  <si>
    <t>GENOMIC</t>
  </si>
  <si>
    <t>RANDOM</t>
  </si>
  <si>
    <t>SRR16661056</t>
  </si>
  <si>
    <t>Quercus castaneifolia</t>
  </si>
  <si>
    <r>
      <rPr>
        <color rgb="FF1155CC"/>
        <u/>
      </rPr>
      <t>SRR16661056</t>
    </r>
  </si>
  <si>
    <t>SRX12861748</t>
  </si>
  <si>
    <t>Fagaceae</t>
  </si>
  <si>
    <t>South China Botanical Garden</t>
  </si>
  <si>
    <t>SRP343961</t>
  </si>
  <si>
    <t>Fagaceae Raw sequence reads</t>
  </si>
  <si>
    <t>SRS10804993</t>
  </si>
  <si>
    <t>L51</t>
  </si>
  <si>
    <t>RANDOM PCR</t>
  </si>
  <si>
    <t>SRR16661061</t>
  </si>
  <si>
    <t>Quercus cerris</t>
  </si>
  <si>
    <r>
      <rPr>
        <rFont val="arial, helvetica, clean, sans-serif"/>
        <color rgb="FF1155CC"/>
        <u/>
      </rPr>
      <t>SRR16661061</t>
    </r>
  </si>
  <si>
    <t>SRX12861743</t>
  </si>
  <si>
    <t>SRS10804988</t>
  </si>
  <si>
    <t>L47</t>
  </si>
  <si>
    <t>SRR16248170</t>
  </si>
  <si>
    <t>Quercus chenii</t>
  </si>
  <si>
    <r>
      <rPr>
        <color rgb="FF1155CC"/>
        <u/>
      </rPr>
      <t>SRR16248170</t>
    </r>
  </si>
  <si>
    <t>SRX12527919</t>
  </si>
  <si>
    <t>SRS10488182</t>
  </si>
  <si>
    <t>s0723-3-3_NDSW57071</t>
  </si>
  <si>
    <t>SRR5820934</t>
  </si>
  <si>
    <t>Quercus suber</t>
  </si>
  <si>
    <r>
      <rPr>
        <color rgb="FF1155CC"/>
        <u/>
      </rPr>
      <t>SRR5820934</t>
    </r>
  </si>
  <si>
    <t>SRX2998821</t>
  </si>
  <si>
    <t>WGS of Q. suber:complex genome using 500bp inserts</t>
  </si>
  <si>
    <t>Illumina HiSeq 2000</t>
  </si>
  <si>
    <t>CEBAL</t>
  </si>
  <si>
    <t>SRP111728</t>
  </si>
  <si>
    <t>Quercus suber isolate:HL8 Genome sequencing and assembly</t>
  </si>
  <si>
    <t>SRS2349719</t>
  </si>
  <si>
    <t>HL8.5_CG_PE500</t>
  </si>
  <si>
    <t>SRR16248109</t>
  </si>
  <si>
    <t>Quercus variabilis</t>
  </si>
  <si>
    <r>
      <rPr>
        <color rgb="FF1155CC"/>
        <u/>
      </rPr>
      <t>SRR16248109</t>
    </r>
  </si>
  <si>
    <t>SRX12527980</t>
  </si>
  <si>
    <t>SRS10488243</t>
  </si>
  <si>
    <t>s0326-1-4_NDSW54416</t>
  </si>
  <si>
    <t>SRR16661019</t>
  </si>
  <si>
    <t>Quercus championii</t>
  </si>
  <si>
    <t>Cyclobalanopsis</t>
  </si>
  <si>
    <r>
      <rPr>
        <color rgb="FF1155CC"/>
        <u/>
      </rPr>
      <t>SRR16661019</t>
    </r>
  </si>
  <si>
    <t>SRX12861785</t>
  </si>
  <si>
    <t>SRS10805030</t>
  </si>
  <si>
    <t>L85</t>
  </si>
  <si>
    <t>SRR16661021</t>
  </si>
  <si>
    <t>Quercus chungii</t>
  </si>
  <si>
    <r>
      <rPr>
        <color rgb="FF1155CC"/>
        <u/>
      </rPr>
      <t>SRR16661021</t>
    </r>
  </si>
  <si>
    <t>SRX12861783</t>
  </si>
  <si>
    <t>SRS10805028</t>
  </si>
  <si>
    <t>L83</t>
  </si>
  <si>
    <t>SRR16661090</t>
  </si>
  <si>
    <t>Quercus edithiae</t>
  </si>
  <si>
    <r>
      <rPr>
        <color rgb="FF1155CC"/>
        <u/>
      </rPr>
      <t>SRR16661090</t>
    </r>
  </si>
  <si>
    <t>SRX12861714</t>
  </si>
  <si>
    <t>SRS10804958</t>
  </si>
  <si>
    <t>L3</t>
  </si>
  <si>
    <t>SRR16661020</t>
  </si>
  <si>
    <t>Quercus fleuryi</t>
  </si>
  <si>
    <r>
      <rPr>
        <color rgb="FF1155CC"/>
        <u/>
      </rPr>
      <t>SRR16661020</t>
    </r>
  </si>
  <si>
    <t>SRX12861784</t>
  </si>
  <si>
    <t>SRS10805029</t>
  </si>
  <si>
    <t>L84</t>
  </si>
  <si>
    <t>SRR16661118</t>
  </si>
  <si>
    <t>Quercus gilva</t>
  </si>
  <si>
    <r>
      <rPr>
        <color rgb="FF1155CC"/>
        <u/>
      </rPr>
      <t>SRR16661118</t>
    </r>
  </si>
  <si>
    <t>SRX12861686</t>
  </si>
  <si>
    <t>SRS10804930</t>
  </si>
  <si>
    <t>L2</t>
  </si>
  <si>
    <t>SRR20997956</t>
  </si>
  <si>
    <t>Quercus glauca</t>
  </si>
  <si>
    <r>
      <rPr>
        <color rgb="FF1155CC"/>
        <u/>
      </rPr>
      <t>SRR20997956</t>
    </r>
  </si>
  <si>
    <t>SRX17014749</t>
  </si>
  <si>
    <t>Resequencing data of ring-cup oak leaf</t>
  </si>
  <si>
    <t>Central South University of Forestry and Technolog</t>
  </si>
  <si>
    <t>SRP390786</t>
  </si>
  <si>
    <t>Raw sequencing data of ring-cup oak genome</t>
  </si>
  <si>
    <t>SRS14599780</t>
  </si>
  <si>
    <t>reseq_1</t>
  </si>
  <si>
    <t>unspecified</t>
  </si>
  <si>
    <t>SRR16661015</t>
  </si>
  <si>
    <t>Quercus hui</t>
  </si>
  <si>
    <r>
      <rPr>
        <color rgb="FF1155CC"/>
        <u/>
      </rPr>
      <t>SRR16661015</t>
    </r>
  </si>
  <si>
    <t>SRX12861789</t>
  </si>
  <si>
    <t>SRS10805034</t>
  </si>
  <si>
    <t>L89</t>
  </si>
  <si>
    <t>SRR16661027</t>
  </si>
  <si>
    <t>Quercus myrsinifolia</t>
  </si>
  <si>
    <r>
      <rPr>
        <color rgb="FF1155CC"/>
        <u/>
      </rPr>
      <t>SRR16661027</t>
    </r>
  </si>
  <si>
    <t>SRX12861777</t>
  </si>
  <si>
    <t>SRS10805022</t>
  </si>
  <si>
    <t>L78</t>
  </si>
  <si>
    <t>SRR16661079</t>
  </si>
  <si>
    <t>Quercus patelliformis</t>
  </si>
  <si>
    <r>
      <rPr>
        <rFont val="arial, helvetica, clean, sans-serif"/>
        <color rgb="FF1155CC"/>
        <u/>
      </rPr>
      <t>SRR16661079</t>
    </r>
  </si>
  <si>
    <t>SRX12861725</t>
  </si>
  <si>
    <t>SRS10804970</t>
  </si>
  <si>
    <t>L4</t>
  </si>
  <si>
    <t>SRR25725048</t>
  </si>
  <si>
    <t>Quercus salicina</t>
  </si>
  <si>
    <r>
      <rPr>
        <rFont val="arial, helvetica, clean, sans-serif"/>
        <color rgb="FF1155CC"/>
        <u/>
      </rPr>
      <t>SRR25725048</t>
    </r>
  </si>
  <si>
    <t>SRX21449159</t>
  </si>
  <si>
    <t>Raw reads of Quercus salicina</t>
  </si>
  <si>
    <t>National Institute of Forest Science</t>
  </si>
  <si>
    <t>SRP456337</t>
  </si>
  <si>
    <t>Quercus salicina Raw sequence reads</t>
  </si>
  <si>
    <t>SRS18685757</t>
  </si>
  <si>
    <t>Chamgashinamu</t>
  </si>
  <si>
    <t>SRR16661117</t>
  </si>
  <si>
    <t>Quercus tiaoloshanica</t>
  </si>
  <si>
    <r>
      <rPr>
        <color rgb="FF1155CC"/>
        <u/>
      </rPr>
      <t>SRR16661117</t>
    </r>
  </si>
  <si>
    <t>SRX12861687</t>
  </si>
  <si>
    <t>SRS10804931</t>
  </si>
  <si>
    <t>L11</t>
  </si>
  <si>
    <t>SRR16661007</t>
  </si>
  <si>
    <t>Quercus aquifolioides</t>
  </si>
  <si>
    <t>Ilex</t>
  </si>
  <si>
    <r>
      <rPr>
        <rFont val="arial, helvetica, clean, sans-serif"/>
        <color rgb="FF1155CC"/>
        <u/>
      </rPr>
      <t>SRR16661007</t>
    </r>
  </si>
  <si>
    <t>SRX12861797</t>
  </si>
  <si>
    <t>SRS10805042</t>
  </si>
  <si>
    <t>L96</t>
  </si>
  <si>
    <t>SRR16661111</t>
  </si>
  <si>
    <t>Quercus dolicholepis</t>
  </si>
  <si>
    <r>
      <rPr>
        <color rgb="FF1155CC"/>
        <u/>
      </rPr>
      <t>SRR16661111</t>
    </r>
  </si>
  <si>
    <t>SRX12861693</t>
  </si>
  <si>
    <t>SRS10804938</t>
  </si>
  <si>
    <t>L106</t>
  </si>
  <si>
    <t>SRR16661110</t>
  </si>
  <si>
    <t>Quercus engleriana</t>
  </si>
  <si>
    <r>
      <rPr>
        <color rgb="FF1155CC"/>
        <u/>
      </rPr>
      <t>SRR16661110</t>
    </r>
  </si>
  <si>
    <t>SRX12861694</t>
  </si>
  <si>
    <t>SRS10804939</t>
  </si>
  <si>
    <t>L107</t>
  </si>
  <si>
    <t>SRR16661119</t>
  </si>
  <si>
    <t>Quercus guyavifolia</t>
  </si>
  <si>
    <r>
      <rPr>
        <color rgb="FF1155CC"/>
        <u/>
      </rPr>
      <t>SRR16661119</t>
    </r>
  </si>
  <si>
    <t>SRX12861685</t>
  </si>
  <si>
    <t>SRS10804932</t>
  </si>
  <si>
    <t>L1</t>
  </si>
  <si>
    <t>SRR16661054</t>
  </si>
  <si>
    <t>Quercus ilex</t>
  </si>
  <si>
    <r>
      <rPr>
        <color rgb="FF1155CC"/>
        <u/>
      </rPr>
      <t>SRR16661054</t>
    </r>
  </si>
  <si>
    <t>SRX12861750</t>
  </si>
  <si>
    <t>SRS10804995</t>
  </si>
  <si>
    <t>L53</t>
  </si>
  <si>
    <t>SRR11398747</t>
  </si>
  <si>
    <t>Quercus longispica</t>
  </si>
  <si>
    <r>
      <rPr>
        <color rgb="FF1155CC"/>
        <u/>
      </rPr>
      <t>SRR11398747</t>
    </r>
  </si>
  <si>
    <t>SRX7977531</t>
  </si>
  <si>
    <t>Whole-genome resequencing of Quercus longispica:leaves of the tree</t>
  </si>
  <si>
    <t>HiSeq X Ten</t>
  </si>
  <si>
    <t>Kunming Institute of Botany, Chinese Academy of Sc</t>
  </si>
  <si>
    <t>SRP253817</t>
  </si>
  <si>
    <t>Whole genome resequencing data of three oaks in southwest China</t>
  </si>
  <si>
    <t>SRS6362227</t>
  </si>
  <si>
    <t>NDSW66326</t>
  </si>
  <si>
    <t>SRR16661109</t>
  </si>
  <si>
    <t>Quercus monimotricha</t>
  </si>
  <si>
    <r>
      <rPr>
        <color rgb="FF1155CC"/>
        <u/>
      </rPr>
      <t>SRR16661109</t>
    </r>
  </si>
  <si>
    <t>SRX12861695</t>
  </si>
  <si>
    <t>SRS10804940</t>
  </si>
  <si>
    <t>L108</t>
  </si>
  <si>
    <t>SRR15841088</t>
  </si>
  <si>
    <t>Quercus pannosa</t>
  </si>
  <si>
    <r>
      <rPr>
        <color rgb="FF1155CC"/>
        <u/>
      </rPr>
      <t>SRR15841088</t>
    </r>
  </si>
  <si>
    <t>SRX12132465</t>
  </si>
  <si>
    <t>Whole-genome resequencing of Quercus pannosa: leaves</t>
  </si>
  <si>
    <t>SRP336540</t>
  </si>
  <si>
    <t>Phylogenomic analyses of sclerophyllous oaks from southwest China</t>
  </si>
  <si>
    <t>SRS10112208</t>
  </si>
  <si>
    <t>FDSW202122440-1r</t>
  </si>
  <si>
    <t>SRR16661102</t>
  </si>
  <si>
    <t>Quercus pseudosemecarpifolia</t>
  </si>
  <si>
    <r>
      <rPr>
        <color rgb="FF1155CC"/>
        <u/>
      </rPr>
      <t>SRR16661102</t>
    </r>
  </si>
  <si>
    <t>SRX12861702</t>
  </si>
  <si>
    <t>SRS10804947</t>
  </si>
  <si>
    <t>L114</t>
  </si>
  <si>
    <t>SRR16661014</t>
  </si>
  <si>
    <t>Quercus pseudosetulosa</t>
  </si>
  <si>
    <r>
      <rPr>
        <color rgb="FF1155CC"/>
        <u/>
      </rPr>
      <t>SRR16661014</t>
    </r>
  </si>
  <si>
    <t>SRX12861790</t>
  </si>
  <si>
    <t>SRS10805035</t>
  </si>
  <si>
    <t>L90</t>
  </si>
  <si>
    <t>SRR15841090</t>
  </si>
  <si>
    <t>Quercus rehderiana</t>
  </si>
  <si>
    <r>
      <rPr>
        <color rgb="FF1155CC"/>
        <u/>
      </rPr>
      <t>SRR15841090</t>
    </r>
  </si>
  <si>
    <t>SRX12132463</t>
  </si>
  <si>
    <t>Whole-genome resequencing of Quercus rehderiana: leaves</t>
  </si>
  <si>
    <t>SRS10112206</t>
  </si>
  <si>
    <t>FDSW202122436-1r</t>
  </si>
  <si>
    <t>SRR15841116</t>
  </si>
  <si>
    <t>Quercus semecarpifolia</t>
  </si>
  <si>
    <r>
      <rPr>
        <color rgb="FF1155CC"/>
        <u/>
      </rPr>
      <t>SRR15841116</t>
    </r>
  </si>
  <si>
    <t>SRX12132438</t>
  </si>
  <si>
    <t>Whole-genome resequencing of Quercus semecarpifolia: leaves</t>
  </si>
  <si>
    <t>SRS10112181</t>
  </si>
  <si>
    <t>NDSW65388</t>
  </si>
  <si>
    <t>SRR16661052</t>
  </si>
  <si>
    <t>Quercus senescens</t>
  </si>
  <si>
    <r>
      <rPr>
        <color rgb="FF1155CC"/>
        <u/>
      </rPr>
      <t>SRR16661052</t>
    </r>
  </si>
  <si>
    <t>SRX12861752</t>
  </si>
  <si>
    <t>SRS10804997</t>
  </si>
  <si>
    <t>L55</t>
  </si>
  <si>
    <t>SRR16661034</t>
  </si>
  <si>
    <t>Quercus spinosa</t>
  </si>
  <si>
    <r>
      <rPr>
        <color rgb="FF1155CC"/>
        <u/>
      </rPr>
      <t>SRR16661034</t>
    </r>
  </si>
  <si>
    <t>SRX12861770</t>
  </si>
  <si>
    <t>SRS10805015</t>
  </si>
  <si>
    <t>L71</t>
  </si>
  <si>
    <t>SRR16661024</t>
  </si>
  <si>
    <t>Lithocarpus corneus</t>
  </si>
  <si>
    <t>N.A.</t>
  </si>
  <si>
    <r>
      <rPr>
        <color rgb="FF1155CC"/>
        <u/>
      </rPr>
      <t>SRR16661024</t>
    </r>
  </si>
  <si>
    <t>SRX12861780</t>
  </si>
  <si>
    <t>SRS10805025</t>
  </si>
  <si>
    <t>L9</t>
  </si>
  <si>
    <t>SRR16661025</t>
  </si>
  <si>
    <t>Lithocarpus longanoides</t>
  </si>
  <si>
    <r>
      <rPr>
        <color rgb="FF1155CC"/>
        <u/>
      </rPr>
      <t>SRR16661025</t>
    </r>
  </si>
  <si>
    <t>SRX12861779</t>
  </si>
  <si>
    <t>SRS10805024</t>
  </si>
  <si>
    <t>L80</t>
  </si>
  <si>
    <t>SRR16661105</t>
  </si>
  <si>
    <t>Lithocarpus truncatus</t>
  </si>
  <si>
    <r>
      <rPr>
        <color rgb="FF1155CC"/>
        <u/>
      </rPr>
      <t>SRR16661105</t>
    </r>
  </si>
  <si>
    <t>SRX12861699</t>
  </si>
  <si>
    <t>SRS10804944</t>
  </si>
  <si>
    <t>L111</t>
  </si>
  <si>
    <t>SRR16661028</t>
  </si>
  <si>
    <t>Lithocarpus uvariifolius</t>
  </si>
  <si>
    <r>
      <rPr>
        <color rgb="FF1155CC"/>
        <u/>
      </rPr>
      <t>SRR16661028</t>
    </r>
  </si>
  <si>
    <t>SRX12861776</t>
  </si>
  <si>
    <t>SRS10805021</t>
  </si>
  <si>
    <t>L77</t>
  </si>
  <si>
    <t>SRR16661094</t>
  </si>
  <si>
    <t>Quercus agrifolia</t>
  </si>
  <si>
    <t>Quercus</t>
  </si>
  <si>
    <t>Lobatae</t>
  </si>
  <si>
    <r>
      <rPr>
        <rFont val="arial, helvetica, clean, sans-serif"/>
        <color rgb="FF1155CC"/>
        <u/>
      </rPr>
      <t>SRR16661094</t>
    </r>
  </si>
  <si>
    <t>SRX12861710</t>
  </si>
  <si>
    <t>SRS10804955</t>
  </si>
  <si>
    <t>L17</t>
  </si>
  <si>
    <t>SRR16661069</t>
  </si>
  <si>
    <t>Quercus ellipsoidalis</t>
  </si>
  <si>
    <r>
      <rPr>
        <color rgb="FF1155CC"/>
        <u/>
      </rPr>
      <t>SRR16661069</t>
    </r>
  </si>
  <si>
    <t>SRX12861735</t>
  </si>
  <si>
    <t>SRS10804980</t>
  </si>
  <si>
    <t>L40</t>
  </si>
  <si>
    <t>SRR16661092</t>
  </si>
  <si>
    <t>Quercus kelloggii</t>
  </si>
  <si>
    <r>
      <rPr>
        <color rgb="FF1155CC"/>
        <u/>
      </rPr>
      <t>SRR16661092</t>
    </r>
  </si>
  <si>
    <t>SRX12861712</t>
  </si>
  <si>
    <t>SRS10804960</t>
  </si>
  <si>
    <t>L19</t>
  </si>
  <si>
    <t>SRR16661066</t>
  </si>
  <si>
    <t>Quercus pagoda</t>
  </si>
  <si>
    <r>
      <rPr>
        <color rgb="FF1155CC"/>
        <u/>
      </rPr>
      <t>SRR16661066</t>
    </r>
  </si>
  <si>
    <t>SRX12861738</t>
  </si>
  <si>
    <t>SRS10804983</t>
  </si>
  <si>
    <t>L42</t>
  </si>
  <si>
    <t>SRR16661093</t>
  </si>
  <si>
    <t>Quercus palustris</t>
  </si>
  <si>
    <r>
      <rPr>
        <color rgb="FF1155CC"/>
        <u/>
      </rPr>
      <t>SRR16661093</t>
    </r>
  </si>
  <si>
    <t>SRX12861711</t>
  </si>
  <si>
    <t>SRS10804956</t>
  </si>
  <si>
    <t>L18</t>
  </si>
  <si>
    <t>SRR18067226</t>
  </si>
  <si>
    <t>Quercus phellos</t>
  </si>
  <si>
    <r>
      <rPr>
        <color rgb="FF1155CC"/>
        <u/>
      </rPr>
      <t>SRR18067226</t>
    </r>
  </si>
  <si>
    <t>SRX14218931</t>
  </si>
  <si>
    <t>quercus_phellos_000</t>
  </si>
  <si>
    <t>Iridian Genomes</t>
  </si>
  <si>
    <t>SRP360482</t>
  </si>
  <si>
    <t>SRS12040428</t>
  </si>
  <si>
    <t>SRR16661059</t>
  </si>
  <si>
    <t>Quercus rubra</t>
  </si>
  <si>
    <r>
      <rPr>
        <color rgb="FF1155CC"/>
        <u/>
      </rPr>
      <t>SRR16661059</t>
    </r>
  </si>
  <si>
    <t>SRX12861745</t>
  </si>
  <si>
    <t>SRS10804990</t>
  </si>
  <si>
    <t>L49</t>
  </si>
  <si>
    <t>SRR16661065</t>
  </si>
  <si>
    <t>Quercus texana</t>
  </si>
  <si>
    <r>
      <rPr>
        <color rgb="FF1155CC"/>
        <u/>
      </rPr>
      <t>SRR16661065</t>
    </r>
  </si>
  <si>
    <t>SRX12861739</t>
  </si>
  <si>
    <t>SRS10804984</t>
  </si>
  <si>
    <t>L43</t>
  </si>
  <si>
    <t>SRR16661082</t>
  </si>
  <si>
    <t>Quercus pontica</t>
  </si>
  <si>
    <t>Ponticae</t>
  </si>
  <si>
    <r>
      <rPr>
        <color rgb="FF1155CC"/>
        <u/>
      </rPr>
      <t>SRR16661082</t>
    </r>
  </si>
  <si>
    <t>SRX12861722</t>
  </si>
  <si>
    <t>SRS10804967</t>
  </si>
  <si>
    <t>L28</t>
  </si>
  <si>
    <t>SRR16661084</t>
  </si>
  <si>
    <t>Quercus sadleriana</t>
  </si>
  <si>
    <r>
      <rPr>
        <color rgb="FF1155CC"/>
        <u/>
      </rPr>
      <t>SRR16661084</t>
    </r>
  </si>
  <si>
    <t>SRX12861720</t>
  </si>
  <si>
    <t>SRS10804965</t>
  </si>
  <si>
    <t>L26</t>
  </si>
  <si>
    <t>SRR16661091</t>
  </si>
  <si>
    <t>Quercus chrysolepis</t>
  </si>
  <si>
    <t>Protobalanus</t>
  </si>
  <si>
    <r>
      <rPr>
        <color rgb="FF1155CC"/>
        <u/>
      </rPr>
      <t>SRR16661091</t>
    </r>
  </si>
  <si>
    <t>SRX12861713</t>
  </si>
  <si>
    <t>SRS10804957</t>
  </si>
  <si>
    <t>L20</t>
  </si>
  <si>
    <t>SRR16661088</t>
  </si>
  <si>
    <t>Quercus tomentella</t>
  </si>
  <si>
    <r>
      <rPr>
        <color rgb="FF1155CC"/>
        <u/>
      </rPr>
      <t>SRR16661088</t>
    </r>
  </si>
  <si>
    <t>SRX12861716</t>
  </si>
  <si>
    <t>SRS10804961</t>
  </si>
  <si>
    <t>L22</t>
  </si>
  <si>
    <t>SRR16661089</t>
  </si>
  <si>
    <t>Quercus vacciniifolia</t>
  </si>
  <si>
    <r>
      <rPr>
        <color rgb="FF1155CC"/>
        <u/>
      </rPr>
      <t>SRR16661089</t>
    </r>
  </si>
  <si>
    <t>SRX12861715</t>
  </si>
  <si>
    <t>SRS10804959</t>
  </si>
  <si>
    <t>L21</t>
  </si>
  <si>
    <t>GSF3714-DL331-2_S1</t>
  </si>
  <si>
    <t>Quercus alba</t>
  </si>
  <si>
    <t>tbd</t>
  </si>
  <si>
    <t>Drew</t>
  </si>
  <si>
    <t>SRR28975510</t>
  </si>
  <si>
    <t>Quercus aliena</t>
  </si>
  <si>
    <r>
      <rPr>
        <rFont val="arial, helvetica, clean, sans-serif"/>
        <color rgb="FF1155CC"/>
        <u/>
      </rPr>
      <t>SRR28975510</t>
    </r>
  </si>
  <si>
    <t>SRX24504947</t>
  </si>
  <si>
    <t>Illumina HiSeq X</t>
  </si>
  <si>
    <t>Shandong Provincial Center of Forest and Grass Ger</t>
  </si>
  <si>
    <t>SRP501418</t>
  </si>
  <si>
    <t>Genome resequencing of Quercus aliena</t>
  </si>
  <si>
    <t>SRS21253453</t>
  </si>
  <si>
    <t>ENC863803</t>
  </si>
  <si>
    <t>size fractionation</t>
  </si>
  <si>
    <t>SYST-MOR-0006970_S23</t>
  </si>
  <si>
    <t>Quercus bicolor</t>
  </si>
  <si>
    <t>Rebekah et al.</t>
  </si>
  <si>
    <t>SRR16661062</t>
  </si>
  <si>
    <t>Quercus canariensis</t>
  </si>
  <si>
    <r>
      <rPr>
        <color rgb="FF1155CC"/>
        <u/>
      </rPr>
      <t>SRR16661062</t>
    </r>
  </si>
  <si>
    <t>SRX12861742</t>
  </si>
  <si>
    <t>SRS10804987</t>
  </si>
  <si>
    <t>L46</t>
  </si>
  <si>
    <t>SRR16996302</t>
  </si>
  <si>
    <t>Quercus dentata</t>
  </si>
  <si>
    <r>
      <rPr>
        <color rgb="FF1155CC"/>
        <u/>
      </rPr>
      <t>SRR16996302</t>
    </r>
  </si>
  <si>
    <t>SRX13186552</t>
  </si>
  <si>
    <t>SRP347127</t>
  </si>
  <si>
    <t>WGS raw data of Q.dentata populations Raw sequence reads</t>
  </si>
  <si>
    <t>SRS11115042</t>
  </si>
  <si>
    <t>L27</t>
  </si>
  <si>
    <t>SRR28383171</t>
  </si>
  <si>
    <t>Quercus dumosa</t>
  </si>
  <si>
    <r>
      <rPr>
        <color rgb="FF1155CC"/>
        <u/>
      </rPr>
      <t>SRR28383171</t>
    </r>
  </si>
  <si>
    <t>SRX23988011</t>
  </si>
  <si>
    <t>DNA-Seq of Quercus dumosa</t>
  </si>
  <si>
    <t>California State University, East Bay</t>
  </si>
  <si>
    <t>SRP496298</t>
  </si>
  <si>
    <t>Quercus dumosa Genome sequencing and assembly</t>
  </si>
  <si>
    <t>SRS20785420</t>
  </si>
  <si>
    <t>GBI_Qdumo</t>
  </si>
  <si>
    <t>PCR</t>
  </si>
  <si>
    <t>SRR16661098</t>
  </si>
  <si>
    <t>Quercus engelmannii</t>
  </si>
  <si>
    <r>
      <rPr>
        <color rgb="FF1155CC"/>
        <u/>
      </rPr>
      <t>SRR16661098</t>
    </r>
  </si>
  <si>
    <t>SRX12861706</t>
  </si>
  <si>
    <t>SRS10804951</t>
  </si>
  <si>
    <t>L13</t>
  </si>
  <si>
    <t>SRR16661048</t>
  </si>
  <si>
    <t>Quercus fabri</t>
  </si>
  <si>
    <r>
      <rPr>
        <color rgb="FF1155CC"/>
        <u/>
      </rPr>
      <t>SRR16661048</t>
    </r>
  </si>
  <si>
    <t>SRX12861756</t>
  </si>
  <si>
    <t>SRS10805001</t>
  </si>
  <si>
    <t>L59</t>
  </si>
  <si>
    <t>SRR16996285</t>
  </si>
  <si>
    <t>Quercus griffithii</t>
  </si>
  <si>
    <r>
      <rPr>
        <color rgb="FF1155CC"/>
        <u/>
      </rPr>
      <t>SRR16996285</t>
    </r>
  </si>
  <si>
    <t>SRX13186569</t>
  </si>
  <si>
    <t>SRS11115059</t>
  </si>
  <si>
    <t>SRR14632992</t>
  </si>
  <si>
    <t>Quercus lobata</t>
  </si>
  <si>
    <r>
      <rPr>
        <color rgb="FF1155CC"/>
        <u/>
      </rPr>
      <t>SRR14632992</t>
    </r>
  </si>
  <si>
    <t>SRX10972782</t>
  </si>
  <si>
    <t>DNA-seq of Quercus lobata: SPR.E2.00F.b</t>
  </si>
  <si>
    <t>Illumina HiSeq 4000</t>
  </si>
  <si>
    <t>University of California, Los Angeles</t>
  </si>
  <si>
    <t>SRP319863</t>
  </si>
  <si>
    <t>California Quercus lobata whole genome sequencing</t>
  </si>
  <si>
    <t>SRS9050220</t>
  </si>
  <si>
    <t>Qlob.SPR.E2.00F.b</t>
  </si>
  <si>
    <t>SYST-MOR-0006756_S40</t>
  </si>
  <si>
    <t>Quercus lyrata</t>
  </si>
  <si>
    <t>SYST-MOR-0007450_S176</t>
  </si>
  <si>
    <t>Quercus macrocarpa</t>
  </si>
  <si>
    <t>SYST-MOR-0006845_S129</t>
  </si>
  <si>
    <t>Quercus margarettae</t>
  </si>
  <si>
    <t>SYST-MOR-0006719_S3</t>
  </si>
  <si>
    <t>Quercus michauxii</t>
  </si>
  <si>
    <t>SRR18591256</t>
  </si>
  <si>
    <t>Quercus mongolica</t>
  </si>
  <si>
    <r>
      <rPr>
        <rFont val="arial, helvetica, clean, sans-serif"/>
        <color rgb="FF1155CC"/>
        <u/>
      </rPr>
      <t>SRR18591256</t>
    </r>
  </si>
  <si>
    <t>SRX14719856</t>
  </si>
  <si>
    <t>resequence of Quercus mongolica</t>
  </si>
  <si>
    <t>Beijing Normal University</t>
  </si>
  <si>
    <t>SRP367370</t>
  </si>
  <si>
    <t>Whole genome sequences of Fagaceae species</t>
  </si>
  <si>
    <t>SRS12482115</t>
  </si>
  <si>
    <t>BK1</t>
  </si>
  <si>
    <t>SYST-MOR-0007090_S143</t>
  </si>
  <si>
    <t>Quercus montana</t>
  </si>
  <si>
    <t>SYST-MOR-0006880_S164</t>
  </si>
  <si>
    <t>Quercus muehlenbergii</t>
  </si>
  <si>
    <t>SRR18459034</t>
  </si>
  <si>
    <t>Quercus petraea</t>
  </si>
  <si>
    <r>
      <rPr>
        <color rgb="FF1155CC"/>
        <u/>
      </rPr>
      <t>SRR18459034</t>
    </r>
  </si>
  <si>
    <t>SRX14591675</t>
  </si>
  <si>
    <t>Whole Genome Sequencing  of Q. petraea buds</t>
  </si>
  <si>
    <t>INRAe</t>
  </si>
  <si>
    <t>SRP365590</t>
  </si>
  <si>
    <t>Quercus robur and Quercus petraea whole genome sequencing.</t>
  </si>
  <si>
    <t>SRS12361800</t>
  </si>
  <si>
    <t>B00FLTT_Bezange-82</t>
  </si>
  <si>
    <t>SYST-MOR-0007106_S159</t>
  </si>
  <si>
    <t>Quercus prinoides</t>
  </si>
  <si>
    <t>SRR16661055</t>
  </si>
  <si>
    <t>Quercus pubescens</t>
  </si>
  <si>
    <r>
      <rPr>
        <color rgb="FF1155CC"/>
        <u/>
      </rPr>
      <t>SRR16661055</t>
    </r>
  </si>
  <si>
    <t>SRX12861749</t>
  </si>
  <si>
    <t>SRS10804994</t>
  </si>
  <si>
    <t>L52</t>
  </si>
  <si>
    <t>SRR16661063</t>
  </si>
  <si>
    <t>Quercus robur</t>
  </si>
  <si>
    <r>
      <rPr>
        <color rgb="FF1155CC"/>
        <u/>
      </rPr>
      <t>SRR16661063</t>
    </r>
  </si>
  <si>
    <t>SRX12861741</t>
  </si>
  <si>
    <t>SRS10804986</t>
  </si>
  <si>
    <t>L45</t>
  </si>
  <si>
    <t>SRR16661064</t>
  </si>
  <si>
    <t>Quercus rugosa</t>
  </si>
  <si>
    <r>
      <rPr>
        <color rgb="FF1155CC"/>
        <u/>
      </rPr>
      <t>SRR16661064</t>
    </r>
  </si>
  <si>
    <t>SRX12861740</t>
  </si>
  <si>
    <t>SRS10804985</t>
  </si>
  <si>
    <t>L44</t>
  </si>
  <si>
    <t>SRR16661043</t>
  </si>
  <si>
    <t>Quercus serrata</t>
  </si>
  <si>
    <r>
      <rPr>
        <rFont val="arial, helvetica, clean, sans-serif"/>
        <color rgb="FF1155CC"/>
        <u/>
      </rPr>
      <t>SRR16661043</t>
    </r>
  </si>
  <si>
    <t>SRX12861761</t>
  </si>
  <si>
    <t>SRS10805006</t>
  </si>
  <si>
    <t>L63</t>
  </si>
  <si>
    <t>SYST-MOR-0007162_S215</t>
  </si>
  <si>
    <t>Quercus sinuata</t>
  </si>
  <si>
    <t>SYST-MOR-0006864_S148</t>
  </si>
  <si>
    <t>Quercus stellata</t>
  </si>
  <si>
    <t>SRR16661006</t>
  </si>
  <si>
    <t>Quercus wutaishanica</t>
  </si>
  <si>
    <r>
      <rPr>
        <color rgb="FF1155CC"/>
        <u/>
      </rPr>
      <t>SRR16661006</t>
    </r>
  </si>
  <si>
    <t>SRX12861798</t>
  </si>
  <si>
    <t>SRS10805043</t>
  </si>
  <si>
    <t>L97</t>
  </si>
  <si>
    <t>SRR16661085</t>
  </si>
  <si>
    <t>Quercus fusiformis</t>
  </si>
  <si>
    <t>Virentes</t>
  </si>
  <si>
    <r>
      <rPr>
        <color rgb="FF1155CC"/>
        <u/>
      </rPr>
      <t>SRR16661085</t>
    </r>
  </si>
  <si>
    <t>SRX12861719</t>
  </si>
  <si>
    <t>SRS10804964</t>
  </si>
  <si>
    <t>L25</t>
  </si>
  <si>
    <t>SRR16661077</t>
  </si>
  <si>
    <t>Quercus virginiana</t>
  </si>
  <si>
    <r>
      <rPr>
        <color rgb="FF1155CC"/>
        <u/>
      </rPr>
      <t>SRR16661077</t>
    </r>
  </si>
  <si>
    <t>SRX12861727</t>
  </si>
  <si>
    <t>SRS10804972</t>
  </si>
  <si>
    <t>L32</t>
  </si>
  <si>
    <t>File</t>
  </si>
  <si>
    <t>Reference</t>
  </si>
  <si>
    <t>?s</t>
  </si>
  <si>
    <t>ns</t>
  </si>
  <si>
    <t>Ns</t>
  </si>
  <si>
    <t>-s</t>
  </si>
  <si>
    <t>other</t>
  </si>
  <si>
    <t>total</t>
  </si>
  <si>
    <t>pct_?</t>
  </si>
  <si>
    <t>pct_n</t>
  </si>
  <si>
    <t>pct_N</t>
  </si>
  <si>
    <t>pct_-</t>
  </si>
  <si>
    <t>pct_other</t>
  </si>
  <si>
    <t>pct_missing</t>
  </si>
  <si>
    <t>GSF3714-DL331-2_S1.Qalba.fa</t>
  </si>
  <si>
    <t>SRR11398747.Qalba.fa</t>
  </si>
  <si>
    <t>SRR14632992.Qalba.fa</t>
  </si>
  <si>
    <t>SRR15841088.Qalba.fa</t>
  </si>
  <si>
    <t>SRR15841090.Qalba.fa</t>
  </si>
  <si>
    <t>SRR15841116.Qalba.fa</t>
  </si>
  <si>
    <t>SRR16248109.Qalba.fa</t>
  </si>
  <si>
    <t>SRR16248155.Qalba.fa</t>
  </si>
  <si>
    <t>SRR16248170.Qalba.fa</t>
  </si>
  <si>
    <t>SRR16661006.Qalba.fa</t>
  </si>
  <si>
    <t>SRR16661007.Qalba.fa</t>
  </si>
  <si>
    <t>SRR16661014.Qalba.fa</t>
  </si>
  <si>
    <t>SRR16661015.Qalba.fa</t>
  </si>
  <si>
    <t>SRR16661019.Qalba.fa</t>
  </si>
  <si>
    <t>SRR16661020.Qalba.fa</t>
  </si>
  <si>
    <t>SRR16661021.Qalba.fa</t>
  </si>
  <si>
    <t>SRR16661024.Qalba.fa</t>
  </si>
  <si>
    <t>SRR16661025.Qalba.fa</t>
  </si>
  <si>
    <t>SRR16661027.Qalba.fa</t>
  </si>
  <si>
    <t>SRR16661028.Qalba.fa</t>
  </si>
  <si>
    <t>SRR16661034.Qalba.fa</t>
  </si>
  <si>
    <t>SRR16661043.Qalba.fa</t>
  </si>
  <si>
    <t>SRR16661048.Qalba.fa</t>
  </si>
  <si>
    <t>SRR16661052.Qalba.fa</t>
  </si>
  <si>
    <t>SRR16661054.Qalba.fa</t>
  </si>
  <si>
    <t>SRR16661055.Qalba.fa</t>
  </si>
  <si>
    <t>SRR16661056.Qalba.fa</t>
  </si>
  <si>
    <t>SRR16661059.Qalba.fa</t>
  </si>
  <si>
    <t>SRR16661061.Qalba.fa</t>
  </si>
  <si>
    <t>SRR16661062.Qalba.fa</t>
  </si>
  <si>
    <t>SRR16661063.Qalba.fa</t>
  </si>
  <si>
    <t>SRR16661064.Qalba.fa</t>
  </si>
  <si>
    <t>SRR16661065.Qalba.fa</t>
  </si>
  <si>
    <t>SRR16661066.Qalba.fa</t>
  </si>
  <si>
    <t>SRR16661069.Qalba.fa</t>
  </si>
  <si>
    <t>SRR16661077.Qalba.fa</t>
  </si>
  <si>
    <t>SRR16661079.Qalba.fa</t>
  </si>
  <si>
    <t>SRR16661082.Qalba.fa</t>
  </si>
  <si>
    <t>SRR16661084.Qalba.fa</t>
  </si>
  <si>
    <t>SRR16661085.Qalba.fa</t>
  </si>
  <si>
    <t>SRR16661088.Qalba.fa</t>
  </si>
  <si>
    <t>SRR16661089.Qalba.fa</t>
  </si>
  <si>
    <t>SRR16661090.Qalba.fa</t>
  </si>
  <si>
    <t>SRR16661091.Qalba.fa</t>
  </si>
  <si>
    <t>SRR16661092.Qalba.fa</t>
  </si>
  <si>
    <t>SRR16661093.Qalba.fa</t>
  </si>
  <si>
    <t>SRR16661094.Qalba.fa</t>
  </si>
  <si>
    <t>SRR16661098.Qalba.fa</t>
  </si>
  <si>
    <t>SRR16661102.Qalba.fa</t>
  </si>
  <si>
    <t>SRR16661105.Qalba.fa</t>
  </si>
  <si>
    <t>SRR16661109.Qalba.fa</t>
  </si>
  <si>
    <t>SRR16661110.Qalba.fa</t>
  </si>
  <si>
    <t>SRR16661111.Qalba.fa</t>
  </si>
  <si>
    <t>SRR16661117.Qalba.fa</t>
  </si>
  <si>
    <t>SRR16661118.Qalba.fa</t>
  </si>
  <si>
    <t>SRR16661119.Qalba.fa</t>
  </si>
  <si>
    <t>SRR16996285.Qalba.fa</t>
  </si>
  <si>
    <t>SRR16996302.Qalba.fa</t>
  </si>
  <si>
    <t>SRR18067226.Qalba.fa</t>
  </si>
  <si>
    <t>SRR18459034.Qalba.fa</t>
  </si>
  <si>
    <t>SRR18591256.Qalba.fa</t>
  </si>
  <si>
    <t>SRR20997956.Qalba.fa</t>
  </si>
  <si>
    <t>SRR25725048.Qalba.fa</t>
  </si>
  <si>
    <t>SRR28383171.Qalba.fa</t>
  </si>
  <si>
    <t>SRR28975510.Qalba.fa</t>
  </si>
  <si>
    <t>SRR5820934.Qalba.fa</t>
  </si>
  <si>
    <t>SYST-MOR-0006719_S3.Qalba.fa</t>
  </si>
  <si>
    <t>SYST-MOR-0006756_S40.Qalba.fa</t>
  </si>
  <si>
    <t>SYST-MOR-0006845_S129.Qalba.fa</t>
  </si>
  <si>
    <t>SYST-MOR-0006864_S148.Qalba.fa</t>
  </si>
  <si>
    <t>SYST-MOR-0006880_S164.Qalba.fa</t>
  </si>
  <si>
    <t>SYST-MOR-0006970_S23.Qalba.fa</t>
  </si>
  <si>
    <t>SYST-MOR-0007090_S143.Qalba.fa</t>
  </si>
  <si>
    <t>SYST-MOR-0007106_S159.Qalba.fa</t>
  </si>
  <si>
    <t>SYST-MOR-0007162_S215.Qalba.fa</t>
  </si>
  <si>
    <t>SYST-MOR-0007450_S176.Qalba.fa</t>
  </si>
  <si>
    <t>GSF3714-DL331-2_S1.Qvar.fa</t>
  </si>
  <si>
    <t>SRR11398747.Qvar.fa</t>
  </si>
  <si>
    <t>SRR14632992.Qvar.fa</t>
  </si>
  <si>
    <t>SRR15841088.Qvar.fa</t>
  </si>
  <si>
    <t>SRR15841090.Qvar.fa</t>
  </si>
  <si>
    <t>SRR15841116.Qvar.fa</t>
  </si>
  <si>
    <t>SRR16248109.Qvar.fa</t>
  </si>
  <si>
    <t>SRR16248155.Qvar.fa</t>
  </si>
  <si>
    <t>SRR16248170.Qvar.fa</t>
  </si>
  <si>
    <t>SRR16661006.Qvar.fa</t>
  </si>
  <si>
    <t>SRR16661007.Qvar.fa</t>
  </si>
  <si>
    <t>SRR16661014.Qvar.fa</t>
  </si>
  <si>
    <t>SRR16661015.Qvar.fa</t>
  </si>
  <si>
    <t>SRR16661019.Qvar.fa</t>
  </si>
  <si>
    <t>SRR16661020.Qvar.fa</t>
  </si>
  <si>
    <t>SRR16661021.Qvar.fa</t>
  </si>
  <si>
    <t>SRR16661024.Qvar.fa</t>
  </si>
  <si>
    <t>SRR16661025.Qvar.fa</t>
  </si>
  <si>
    <t>SRR16661027.Qvar.fa</t>
  </si>
  <si>
    <t>SRR16661028.Qvar.fa</t>
  </si>
  <si>
    <t>SRR16661034.Qvar.fa</t>
  </si>
  <si>
    <t>SRR16661043.Qvar.fa</t>
  </si>
  <si>
    <t>SRR16661048.Qvar.fa</t>
  </si>
  <si>
    <t>SRR16661052.Qvar.fa</t>
  </si>
  <si>
    <t>SRR16661054.Qvar.fa</t>
  </si>
  <si>
    <t>SRR16661055.Qvar.fa</t>
  </si>
  <si>
    <t>SRR16661056.Qvar.fa</t>
  </si>
  <si>
    <t>SRR16661059.Qvar.fa</t>
  </si>
  <si>
    <t>SRR16661061.Qvar.fa</t>
  </si>
  <si>
    <t>SRR16661062.Qvar.fa</t>
  </si>
  <si>
    <t>SRR16661063.Qvar.fa</t>
  </si>
  <si>
    <t>SRR16661064.Qvar.fa</t>
  </si>
  <si>
    <t>SRR16661065.Qvar.fa</t>
  </si>
  <si>
    <t>SRR16661066.Qvar.fa</t>
  </si>
  <si>
    <t>SRR16661069.Qvar.fa</t>
  </si>
  <si>
    <t>SRR16661077.Qvar.fa</t>
  </si>
  <si>
    <t>SRR16661079.Qvar.fa</t>
  </si>
  <si>
    <t>SRR16661082.Qvar.fa</t>
  </si>
  <si>
    <t>SRR16661084.Qvar.fa</t>
  </si>
  <si>
    <t>SRR16661085.Qvar.fa</t>
  </si>
  <si>
    <t>SRR16661088.Qvar.fa</t>
  </si>
  <si>
    <t>SRR16661089.Qvar.fa</t>
  </si>
  <si>
    <t>SRR16661090.Qvar.fa</t>
  </si>
  <si>
    <t>SRR16661091.Qvar.fa</t>
  </si>
  <si>
    <t>SRR16661092.Qvar.fa</t>
  </si>
  <si>
    <t>SRR16661093.Qvar.fa</t>
  </si>
  <si>
    <t>SRR16661094.Qvar.fa</t>
  </si>
  <si>
    <t>SRR16661098.Qvar.fa</t>
  </si>
  <si>
    <t>SRR16661102.Qvar.fa</t>
  </si>
  <si>
    <t>SRR16661105.Qvar.fa</t>
  </si>
  <si>
    <t>SRR16661109.Qvar.fa</t>
  </si>
  <si>
    <t>SRR16661110.Qvar.fa</t>
  </si>
  <si>
    <t>SRR16661111.Qvar.fa</t>
  </si>
  <si>
    <t>SRR16661117.Qvar.fa</t>
  </si>
  <si>
    <t>SRR16661118.Qvar.fa</t>
  </si>
  <si>
    <t>SRR16661119.Qvar.fa</t>
  </si>
  <si>
    <t>SRR16996285.Qvar.fa</t>
  </si>
  <si>
    <t>SRR16996302.Qvar.fa</t>
  </si>
  <si>
    <t>SRR18067226.Qvar.fa</t>
  </si>
  <si>
    <t>SRR18459034.Qvar.fa</t>
  </si>
  <si>
    <t>SRR18591256.Qvar.fa</t>
  </si>
  <si>
    <t>SRR20997956.Qvar.fa</t>
  </si>
  <si>
    <t>SRR25725048.Qvar.fa</t>
  </si>
  <si>
    <t>SRR28383171.Qvar.fa</t>
  </si>
  <si>
    <t>SRR28975510.Qvar.fa</t>
  </si>
  <si>
    <t>SRR5820934.Qvar.fa</t>
  </si>
  <si>
    <t>SYST-MOR-0006719_S3.Qvar.fa</t>
  </si>
  <si>
    <t>SYST-MOR-0006756_S40.Qvar.fa</t>
  </si>
  <si>
    <t>SYST-MOR-0006845_S129.Qvar.fa</t>
  </si>
  <si>
    <t>SYST-MOR-0006864_S148.Qvar.fa</t>
  </si>
  <si>
    <t>SYST-MOR-0006880_S164.Qvar.fa</t>
  </si>
  <si>
    <t>SYST-MOR-0006970_S23.Qvar.fa</t>
  </si>
  <si>
    <t>SYST-MOR-0007090_S143.Qvar.fa</t>
  </si>
  <si>
    <t>SYST-MOR-0007106_S159.Qvar.fa</t>
  </si>
  <si>
    <t>SYST-MOR-0007162_S215.Qvar.fa</t>
  </si>
  <si>
    <t>SYST-MOR-0007450_S176.Qvar.fa</t>
  </si>
  <si>
    <t>fastp --dedup --thread 2 -i /N/project/oakphylo2025/Project_raw_reads/SRR16661069.fastq  -o /N/project/oakphylo2025/Trimmed_reads/SRR16661069.fastq</t>
  </si>
  <si>
    <t>1.4G</t>
  </si>
  <si>
    <t>SRR16661069_1.fastq</t>
  </si>
  <si>
    <t>SRR16661069_2.fastq</t>
  </si>
  <si>
    <t>Using unpaired only</t>
  </si>
  <si>
    <t>41G</t>
  </si>
  <si>
    <t>SRR16661069.fastq</t>
  </si>
  <si>
    <t>721M</t>
  </si>
  <si>
    <t>SRR16661082_1.fastq</t>
  </si>
  <si>
    <t>SRR16661082_2.fastq</t>
  </si>
  <si>
    <t>Using upaired only</t>
  </si>
  <si>
    <t>48G</t>
  </si>
  <si>
    <t>SRR16661082.fastq</t>
  </si>
  <si>
    <t>fastp --dedup --thread 2 -i /N/project/oakphylo2025/Project_raw_reads/SRR16661082.fastq -o /N/project/oakphylo2025/Trimmed_reads/SRR16661082.fastq</t>
  </si>
  <si>
    <t>83G</t>
  </si>
  <si>
    <t>SRR5820934_1.fastq</t>
  </si>
  <si>
    <t>SRR5820934_2.fastq</t>
  </si>
  <si>
    <t>Using paired only</t>
  </si>
  <si>
    <t>13G</t>
  </si>
  <si>
    <t>SRR5820934.fastq</t>
  </si>
  <si>
    <t>fastp --dedup --thread 2 -i /N/project/oakphylo2025/Project_raw_reads/SRR5820934.fastq -o /N/project/oakphylo2025/Trimmed_reads/SRR5820934.fastq</t>
  </si>
  <si>
    <t>Sample</t>
  </si>
  <si>
    <t>Forward</t>
  </si>
  <si>
    <t>Reverse</t>
  </si>
  <si>
    <t>ATCGGAAGAGCGTCGTGTAGGGAAAGAGTGTAGGCTATAGTGTAGATCTC</t>
  </si>
  <si>
    <t>Illumina Single End PCR Primer 1 (96% over 33bp)</t>
  </si>
  <si>
    <t>ATCGGAAGAGCGTCGTGTAGGGAAAGAGTGTAGGCTATAGTGTAGATCTCGGTGGTCGCCGTATCATTAAAAAA</t>
  </si>
  <si>
    <t>ATCGGAAGAGCACACGTCTGAACTCCAGTCACAGCGATAGATCTCGTATG</t>
  </si>
  <si>
    <t>TruSeq Adapter, Index 1 (97% over 35bp</t>
  </si>
  <si>
    <t>ATCGGAAGAGCACACGTCTGAACTCCAGTCACAGCGATAGATCTCGTATGCCGTCTTCTGCTTGAAAAAA</t>
  </si>
  <si>
    <t>mic</t>
  </si>
  <si>
    <t>lyr</t>
  </si>
  <si>
    <t>mar</t>
  </si>
  <si>
    <t>ste</t>
  </si>
  <si>
    <t>mue</t>
  </si>
  <si>
    <t>bic</t>
  </si>
  <si>
    <t>mon</t>
  </si>
  <si>
    <t>pri</t>
  </si>
  <si>
    <t>sin</t>
  </si>
  <si>
    <t>mac</t>
  </si>
  <si>
    <t>Selected</t>
  </si>
  <si>
    <t>Alternate</t>
  </si>
  <si>
    <t>Getting reads from Rebekah</t>
  </si>
  <si>
    <t>Estimated coverage</t>
  </si>
  <si>
    <t>SRA Run</t>
  </si>
  <si>
    <t>Experiment Accession</t>
  </si>
  <si>
    <t>Experiment Title</t>
  </si>
  <si>
    <t>Instrument</t>
  </si>
  <si>
    <t>Submitter</t>
  </si>
  <si>
    <t>Study Accession</t>
  </si>
  <si>
    <t>Study Title</t>
  </si>
  <si>
    <t>Sample Accession</t>
  </si>
  <si>
    <t>Sample Title</t>
  </si>
  <si>
    <t>File size (Gigabytes)</t>
  </si>
  <si>
    <t>Total RUNs</t>
  </si>
  <si>
    <t>Total Spots</t>
  </si>
  <si>
    <t>Total Bases</t>
  </si>
  <si>
    <t>Library Name</t>
  </si>
  <si>
    <t>Library Strategy</t>
  </si>
  <si>
    <t>Library Source</t>
  </si>
  <si>
    <t>Library Selection</t>
  </si>
  <si>
    <r>
      <rPr>
        <color rgb="FF1155CC"/>
        <u/>
      </rPr>
      <t>SRR16661024</t>
    </r>
  </si>
  <si>
    <r>
      <rPr>
        <color rgb="FF1155CC"/>
        <u/>
      </rPr>
      <t>SRR16661025</t>
    </r>
  </si>
  <si>
    <r>
      <rPr>
        <color rgb="FF1155CC"/>
        <u/>
      </rPr>
      <t>SRR16661105</t>
    </r>
  </si>
  <si>
    <r>
      <rPr>
        <color rgb="FF1155CC"/>
        <u/>
      </rPr>
      <t>SRR16661028</t>
    </r>
  </si>
  <si>
    <r>
      <rPr>
        <color rgb="FF1155CC"/>
        <u/>
      </rPr>
      <t>SRR16248155</t>
    </r>
  </si>
  <si>
    <r>
      <rPr>
        <rFont val="arial, helvetica, clean, sans-serif"/>
        <color rgb="FF1155CC"/>
        <u/>
      </rPr>
      <t>SRR16661094</t>
    </r>
  </si>
  <si>
    <r>
      <rPr>
        <rFont val="arial, helvetica, clean, sans-serif"/>
        <color rgb="FF1155CC"/>
        <u/>
      </rPr>
      <t>SRR28975510</t>
    </r>
  </si>
  <si>
    <r>
      <rPr>
        <rFont val="arial, helvetica, clean, sans-serif"/>
        <color rgb="FF1155CC"/>
        <u/>
      </rPr>
      <t>SRR16661007</t>
    </r>
  </si>
  <si>
    <r>
      <rPr>
        <color rgb="FF1155CC"/>
        <u/>
      </rPr>
      <t>SRR16661062</t>
    </r>
  </si>
  <si>
    <r>
      <rPr>
        <color rgb="FF1155CC"/>
        <u/>
      </rPr>
      <t>SRR16661056</t>
    </r>
  </si>
  <si>
    <r>
      <rPr>
        <rFont val="arial, helvetica, clean, sans-serif"/>
        <color rgb="FF1155CC"/>
        <u/>
      </rPr>
      <t>SRR16661061</t>
    </r>
  </si>
  <si>
    <r>
      <rPr>
        <color rgb="FF1155CC"/>
        <u/>
      </rPr>
      <t>SRR16661019</t>
    </r>
  </si>
  <si>
    <r>
      <rPr>
        <color rgb="FF1155CC"/>
        <u/>
      </rPr>
      <t>SRR16248170</t>
    </r>
  </si>
  <si>
    <r>
      <rPr>
        <color rgb="FF1155CC"/>
        <u/>
      </rPr>
      <t>SRR16661091</t>
    </r>
  </si>
  <si>
    <r>
      <rPr>
        <color rgb="FF1155CC"/>
        <u/>
      </rPr>
      <t>SRR16661021</t>
    </r>
  </si>
  <si>
    <r>
      <rPr>
        <color rgb="FF1155CC"/>
        <u/>
      </rPr>
      <t>SRR16996302</t>
    </r>
  </si>
  <si>
    <r>
      <rPr>
        <color rgb="FF1155CC"/>
        <u/>
      </rPr>
      <t>SRR16661111</t>
    </r>
  </si>
  <si>
    <r>
      <rPr>
        <color rgb="FF1155CC"/>
        <u/>
      </rPr>
      <t>SRR28383171</t>
    </r>
  </si>
  <si>
    <r>
      <rPr>
        <color rgb="FF1155CC"/>
        <u/>
      </rPr>
      <t>SRR16661090</t>
    </r>
  </si>
  <si>
    <r>
      <rPr>
        <color rgb="FF1155CC"/>
        <u/>
      </rPr>
      <t>SRR16661069</t>
    </r>
  </si>
  <si>
    <r>
      <rPr>
        <color rgb="FF1155CC"/>
        <u/>
      </rPr>
      <t>SRR16661098</t>
    </r>
  </si>
  <si>
    <r>
      <rPr>
        <color rgb="FF1155CC"/>
        <u/>
      </rPr>
      <t>SRR16661110</t>
    </r>
  </si>
  <si>
    <r>
      <rPr>
        <color rgb="FF1155CC"/>
        <u/>
      </rPr>
      <t>SRR16661048</t>
    </r>
  </si>
  <si>
    <r>
      <rPr>
        <color rgb="FF1155CC"/>
        <u/>
      </rPr>
      <t>SRR16661020</t>
    </r>
  </si>
  <si>
    <r>
      <rPr>
        <color rgb="FF1155CC"/>
        <u/>
      </rPr>
      <t>SRR16661085</t>
    </r>
  </si>
  <si>
    <r>
      <rPr>
        <color rgb="FF1155CC"/>
        <u/>
      </rPr>
      <t>SRR16661118</t>
    </r>
  </si>
  <si>
    <r>
      <rPr>
        <color rgb="FF1155CC"/>
        <u/>
      </rPr>
      <t>SRR20997956</t>
    </r>
  </si>
  <si>
    <r>
      <rPr>
        <color rgb="FF1155CC"/>
        <u/>
      </rPr>
      <t>SRR16996285</t>
    </r>
  </si>
  <si>
    <r>
      <rPr>
        <color rgb="FF1155CC"/>
        <u/>
      </rPr>
      <t>SRR16661119</t>
    </r>
  </si>
  <si>
    <r>
      <rPr>
        <color rgb="FF1155CC"/>
        <u/>
      </rPr>
      <t>SRR16661015</t>
    </r>
  </si>
  <si>
    <r>
      <rPr>
        <color rgb="FF1155CC"/>
        <u/>
      </rPr>
      <t>SRR16661054</t>
    </r>
  </si>
  <si>
    <r>
      <rPr>
        <color rgb="FF1155CC"/>
        <u/>
      </rPr>
      <t>SRR16661092</t>
    </r>
  </si>
  <si>
    <r>
      <rPr>
        <color rgb="FF1155CC"/>
        <u/>
      </rPr>
      <t>SRR14632992</t>
    </r>
  </si>
  <si>
    <r>
      <rPr>
        <color rgb="FF1155CC"/>
        <u/>
      </rPr>
      <t>SRR11398747</t>
    </r>
  </si>
  <si>
    <r>
      <rPr>
        <rFont val="arial, helvetica, clean, sans-serif"/>
        <color rgb="FF1155CC"/>
        <u/>
      </rPr>
      <t>SRR18591256</t>
    </r>
  </si>
  <si>
    <r>
      <rPr>
        <color rgb="FF1155CC"/>
        <u/>
      </rPr>
      <t>SRR16661109</t>
    </r>
  </si>
  <si>
    <r>
      <rPr>
        <color rgb="FF1155CC"/>
        <u/>
      </rPr>
      <t>SRR16661027</t>
    </r>
  </si>
  <si>
    <r>
      <rPr>
        <color rgb="FF1155CC"/>
        <u/>
      </rPr>
      <t>SRR16661066</t>
    </r>
  </si>
  <si>
    <r>
      <rPr>
        <color rgb="FF1155CC"/>
        <u/>
      </rPr>
      <t>SRR16661093</t>
    </r>
  </si>
  <si>
    <r>
      <rPr>
        <color rgb="FF1155CC"/>
        <u/>
      </rPr>
      <t>SRR15841088</t>
    </r>
  </si>
  <si>
    <r>
      <rPr>
        <rFont val="arial, helvetica, clean, sans-serif"/>
        <color rgb="FF1155CC"/>
        <u/>
      </rPr>
      <t>SRR16661079</t>
    </r>
  </si>
  <si>
    <r>
      <rPr>
        <color rgb="FF1155CC"/>
        <u/>
      </rPr>
      <t>SRR18459034</t>
    </r>
  </si>
  <si>
    <r>
      <rPr>
        <color rgb="FF1155CC"/>
        <u/>
      </rPr>
      <t>SRR18067226</t>
    </r>
  </si>
  <si>
    <r>
      <rPr>
        <color rgb="FF1155CC"/>
        <u/>
      </rPr>
      <t>SRR16661082</t>
    </r>
  </si>
  <si>
    <r>
      <rPr>
        <color rgb="FF1155CC"/>
        <u/>
      </rPr>
      <t>SRR16661102</t>
    </r>
  </si>
  <si>
    <r>
      <rPr>
        <color rgb="FF1155CC"/>
        <u/>
      </rPr>
      <t>SRR16661014</t>
    </r>
  </si>
  <si>
    <r>
      <rPr>
        <color rgb="FF1155CC"/>
        <u/>
      </rPr>
      <t>SRR16661055</t>
    </r>
  </si>
  <si>
    <r>
      <rPr>
        <color rgb="FF1155CC"/>
        <u/>
      </rPr>
      <t>SRR15841090</t>
    </r>
  </si>
  <si>
    <r>
      <rPr>
        <color rgb="FF1155CC"/>
        <u/>
      </rPr>
      <t>SRR16661063</t>
    </r>
  </si>
  <si>
    <r>
      <rPr>
        <color rgb="FF1155CC"/>
        <u/>
      </rPr>
      <t>SRR16661059</t>
    </r>
  </si>
  <si>
    <r>
      <rPr>
        <color rgb="FF1155CC"/>
        <u/>
      </rPr>
      <t>SRR16661064</t>
    </r>
  </si>
  <si>
    <r>
      <rPr>
        <color rgb="FF1155CC"/>
        <u/>
      </rPr>
      <t>SRR16661084</t>
    </r>
  </si>
  <si>
    <r>
      <rPr>
        <rFont val="arial, helvetica, clean, sans-serif"/>
        <color rgb="FF1155CC"/>
        <u/>
      </rPr>
      <t>SRR25725048</t>
    </r>
  </si>
  <si>
    <r>
      <rPr>
        <color rgb="FF1155CC"/>
        <u/>
      </rPr>
      <t>SRR15841116</t>
    </r>
  </si>
  <si>
    <r>
      <rPr>
        <color rgb="FF1155CC"/>
        <u/>
      </rPr>
      <t>SRR16661052</t>
    </r>
  </si>
  <si>
    <r>
      <rPr>
        <rFont val="arial, helvetica, clean, sans-serif"/>
        <color rgb="FF1155CC"/>
        <u/>
      </rPr>
      <t>SRR16661043</t>
    </r>
  </si>
  <si>
    <r>
      <rPr>
        <color rgb="FF1155CC"/>
        <u/>
      </rPr>
      <t>SRR16661034</t>
    </r>
  </si>
  <si>
    <r>
      <rPr>
        <color rgb="FF1155CC"/>
        <u/>
      </rPr>
      <t>SRR5820934</t>
    </r>
  </si>
  <si>
    <r>
      <rPr>
        <color rgb="FF1155CC"/>
        <u/>
      </rPr>
      <t>SRR16661065</t>
    </r>
  </si>
  <si>
    <r>
      <rPr>
        <color rgb="FF1155CC"/>
        <u/>
      </rPr>
      <t>SRR16661117</t>
    </r>
  </si>
  <si>
    <r>
      <rPr>
        <color rgb="FF1155CC"/>
        <u/>
      </rPr>
      <t>SRR16661088</t>
    </r>
  </si>
  <si>
    <r>
      <rPr>
        <color rgb="FF1155CC"/>
        <u/>
      </rPr>
      <t>SRR16661089</t>
    </r>
  </si>
  <si>
    <r>
      <rPr>
        <color rgb="FF1155CC"/>
        <u/>
      </rPr>
      <t>SRR16248109</t>
    </r>
  </si>
  <si>
    <r>
      <rPr>
        <color rgb="FF1155CC"/>
        <u/>
      </rPr>
      <t>SRR16661077</t>
    </r>
  </si>
  <si>
    <r>
      <rPr>
        <color rgb="FF1155CC"/>
        <u/>
      </rPr>
      <t>SRR16661006</t>
    </r>
  </si>
  <si>
    <t>SRX12200531</t>
  </si>
  <si>
    <t>illumina</t>
  </si>
  <si>
    <t>Zhejiang University</t>
  </si>
  <si>
    <t>SRP337309</t>
  </si>
  <si>
    <t>genome data</t>
  </si>
  <si>
    <t>SRS10176819</t>
  </si>
  <si>
    <t>FDES190056116-1a_L3</t>
  </si>
  <si>
    <t>SRX12527931</t>
  </si>
  <si>
    <t>SRS10488194</t>
  </si>
  <si>
    <t>s0723-2-2_NDSW49949</t>
  </si>
  <si>
    <t>SRX12527907</t>
  </si>
  <si>
    <t>SRS10488170</t>
  </si>
  <si>
    <t>s0630-2-29_NDSW49973</t>
  </si>
  <si>
    <t>SRX12861751</t>
  </si>
  <si>
    <t>SRS10804996</t>
  </si>
  <si>
    <t>L54</t>
  </si>
  <si>
    <t>SRX12527951</t>
  </si>
  <si>
    <t>SRS10488214</t>
  </si>
  <si>
    <t>s0929-1-10_NDSW54397</t>
  </si>
  <si>
    <t>SRX12527950</t>
  </si>
  <si>
    <t>SRS10488213</t>
  </si>
  <si>
    <t>s0906-1-13_NDSW54382</t>
  </si>
  <si>
    <t>SRX12527943</t>
  </si>
  <si>
    <t>SRS10488206</t>
  </si>
  <si>
    <t>s1027-1-8_NDSW54414</t>
  </si>
  <si>
    <t>SRX12527938</t>
  </si>
  <si>
    <t>SRS10488201</t>
  </si>
  <si>
    <t>s0326-2-4_NDSW54421</t>
  </si>
  <si>
    <t>SRX12861728</t>
  </si>
  <si>
    <t>SRS10804973</t>
  </si>
  <si>
    <t>L33</t>
  </si>
  <si>
    <t>SRX12861729</t>
  </si>
  <si>
    <t>SRS10804974</t>
  </si>
  <si>
    <t>L34</t>
  </si>
  <si>
    <t>SRX21905954</t>
  </si>
  <si>
    <t>Short DNA Illumina sequences of Quercus alba</t>
  </si>
  <si>
    <t>University of Tennessee, Knoxville</t>
  </si>
  <si>
    <t>SRP463476</t>
  </si>
  <si>
    <t>A haplotype-resolved reference genome of Quercus alba sheds light on the evolutionary history of oaks</t>
  </si>
  <si>
    <t>SRS18991848</t>
  </si>
  <si>
    <t>Illumina 151bp x 2</t>
  </si>
  <si>
    <t>SRX21905962</t>
  </si>
  <si>
    <t>Short Illumina reads of Quercus alba</t>
  </si>
  <si>
    <t>SRS18991855</t>
  </si>
  <si>
    <t>Illumina_alba_PS102_S5</t>
  </si>
  <si>
    <t>SRX21905944</t>
  </si>
  <si>
    <t>SRS18991839</t>
  </si>
  <si>
    <t>Illumina_alba_PS64_S6</t>
  </si>
  <si>
    <t>SRX21905951</t>
  </si>
  <si>
    <t>SRS18991845</t>
  </si>
  <si>
    <t>Illumina_alba_PS85_S1</t>
  </si>
  <si>
    <t>SRX21905939</t>
  </si>
  <si>
    <t>SRS18991833</t>
  </si>
  <si>
    <t>Illumina_alba_PS104_S2</t>
  </si>
  <si>
    <t>SRX21905945</t>
  </si>
  <si>
    <t>SRS18991838</t>
  </si>
  <si>
    <t>Illumina_alba_PS65_S10</t>
  </si>
  <si>
    <t>SRX21905953</t>
  </si>
  <si>
    <t>SRS18991847</t>
  </si>
  <si>
    <t>Illumina_alba_PS96_S14</t>
  </si>
  <si>
    <t>SRX21905940</t>
  </si>
  <si>
    <t>SRS18991834</t>
  </si>
  <si>
    <t>Illumina_alba_PS12_S8</t>
  </si>
  <si>
    <t>SRX21905941</t>
  </si>
  <si>
    <t>SRS18991835</t>
  </si>
  <si>
    <t>Illumina_alba_PS13_S13</t>
  </si>
  <si>
    <t>SRX21905943</t>
  </si>
  <si>
    <t>SRS18991837</t>
  </si>
  <si>
    <t>Illumina_alba_PS46_S15</t>
  </si>
  <si>
    <t>SRX24234633</t>
  </si>
  <si>
    <t>SRS21003411</t>
  </si>
  <si>
    <t>ENC863776</t>
  </si>
  <si>
    <t>SRX24297901</t>
  </si>
  <si>
    <t>SRS21061993</t>
  </si>
  <si>
    <t>ENC863787</t>
  </si>
  <si>
    <t>SRX24504948</t>
  </si>
  <si>
    <t>SRS21253454</t>
  </si>
  <si>
    <t>ENC863804</t>
  </si>
  <si>
    <t>SRX24404030</t>
  </si>
  <si>
    <t>SRS21158849</t>
  </si>
  <si>
    <t>ENC863794</t>
  </si>
  <si>
    <t>SRX24482695</t>
  </si>
  <si>
    <t>SRS21232265</t>
  </si>
  <si>
    <t>ENC863800</t>
  </si>
  <si>
    <t>SRX24962372</t>
  </si>
  <si>
    <t>SRS21665973</t>
  </si>
  <si>
    <t>ENC863840</t>
  </si>
  <si>
    <t>SRX24677036</t>
  </si>
  <si>
    <t>Quercusaliena</t>
  </si>
  <si>
    <t>SRS21411743</t>
  </si>
  <si>
    <t>ENC863821</t>
  </si>
  <si>
    <t>SRX24386878</t>
  </si>
  <si>
    <t>SRS21142959</t>
  </si>
  <si>
    <t>ENC863788</t>
  </si>
  <si>
    <t>SRX24297897</t>
  </si>
  <si>
    <t>SRS21061990</t>
  </si>
  <si>
    <t>ENC863783</t>
  </si>
  <si>
    <t>SRX24234632</t>
  </si>
  <si>
    <t>SRS21003412</t>
  </si>
  <si>
    <t>ENC863775</t>
  </si>
  <si>
    <t>SRX24530227</t>
  </si>
  <si>
    <t>SRS21276365</t>
  </si>
  <si>
    <t>ENC863808</t>
  </si>
  <si>
    <t>SRX24748760</t>
  </si>
  <si>
    <t>SRS21469453</t>
  </si>
  <si>
    <t>ENC863830</t>
  </si>
  <si>
    <t>SRX24682102</t>
  </si>
  <si>
    <t>SRS21416466</t>
  </si>
  <si>
    <t>ENC863823</t>
  </si>
  <si>
    <t>SRX9967503</t>
  </si>
  <si>
    <t>Illumina sequencing of Quercus aquifolioides genome</t>
  </si>
  <si>
    <t>School of Food and Biological Engineering</t>
  </si>
  <si>
    <t>SRP303567</t>
  </si>
  <si>
    <t>Quercus aquifolioides isolate:Qaqu01.1 Genome sequencing</t>
  </si>
  <si>
    <t>SRS8140296</t>
  </si>
  <si>
    <t>Qaqu01</t>
  </si>
  <si>
    <t>SRX12861796</t>
  </si>
  <si>
    <t>SRS10805041</t>
  </si>
  <si>
    <t>L95</t>
  </si>
  <si>
    <t>SRX7977474</t>
  </si>
  <si>
    <t>Whole-genome resequencing of Quercus aquifolioides:leaves of the tree</t>
  </si>
  <si>
    <t>SRS6362170</t>
  </si>
  <si>
    <t>NDSW66323</t>
  </si>
  <si>
    <t>SRX7977471</t>
  </si>
  <si>
    <t>SRS6362166</t>
  </si>
  <si>
    <t>NDSW66421</t>
  </si>
  <si>
    <t>SRX7977470</t>
  </si>
  <si>
    <t>SRS6362167</t>
  </si>
  <si>
    <t>NDSW66321</t>
  </si>
  <si>
    <t>SRX7977483</t>
  </si>
  <si>
    <t>SRS6362178</t>
  </si>
  <si>
    <t>NDSW65381</t>
  </si>
  <si>
    <t>SRX14218934</t>
  </si>
  <si>
    <t>quercus_bicolor_0001</t>
  </si>
  <si>
    <t>SRP360486</t>
  </si>
  <si>
    <t>SRS12040431</t>
  </si>
  <si>
    <t>SRX21905949</t>
  </si>
  <si>
    <t>Short Illumina reads of Quercus bicolor</t>
  </si>
  <si>
    <t>SRS18991844</t>
  </si>
  <si>
    <t>Illumina_bicolor</t>
  </si>
  <si>
    <t>SRX12861734</t>
  </si>
  <si>
    <t>SRS10804979</t>
  </si>
  <si>
    <t>L39</t>
  </si>
  <si>
    <t>SRX12861718</t>
  </si>
  <si>
    <t>SRS10804963</t>
  </si>
  <si>
    <t>L24</t>
  </si>
  <si>
    <t>SRX12527918</t>
  </si>
  <si>
    <t>SRS10488181</t>
  </si>
  <si>
    <t>s0804-2-4_NDSW57160</t>
  </si>
  <si>
    <t>SRX12527920</t>
  </si>
  <si>
    <t>SRS10488183</t>
  </si>
  <si>
    <t>s0723-3-4_NDSW57158</t>
  </si>
  <si>
    <t>SRX12527922</t>
  </si>
  <si>
    <t>SRS10488185</t>
  </si>
  <si>
    <t>s0723-3-8_NDSW57159</t>
  </si>
  <si>
    <t>SRX12527923</t>
  </si>
  <si>
    <t>SRS10488186</t>
  </si>
  <si>
    <t>s0723-3-9_NDSW57073</t>
  </si>
  <si>
    <t>SRX12527917</t>
  </si>
  <si>
    <t>SRS10488180</t>
  </si>
  <si>
    <t>s0804-2-1_NDSW57074</t>
  </si>
  <si>
    <t>SRX12527926</t>
  </si>
  <si>
    <t>SRS10488189</t>
  </si>
  <si>
    <t>s0719-3-3_NDSW57068</t>
  </si>
  <si>
    <t>SRX13186548</t>
  </si>
  <si>
    <t>SRS11115038</t>
  </si>
  <si>
    <t>L23</t>
  </si>
  <si>
    <t>SRX13186559</t>
  </si>
  <si>
    <t>SRS11115050</t>
  </si>
  <si>
    <t>SRX13186551</t>
  </si>
  <si>
    <t>SRS11115041</t>
  </si>
  <si>
    <t>SRX13186535</t>
  </si>
  <si>
    <t>SRS11115025</t>
  </si>
  <si>
    <t>SRX13186573</t>
  </si>
  <si>
    <t>SRS11115063</t>
  </si>
  <si>
    <t>L7</t>
  </si>
  <si>
    <t>SRX13186541</t>
  </si>
  <si>
    <t>SRS11115031</t>
  </si>
  <si>
    <t>SRX13186549</t>
  </si>
  <si>
    <t>SRS11115039</t>
  </si>
  <si>
    <t>SRX12132472</t>
  </si>
  <si>
    <t>Whole-genome resequencing of Quercus dolicholepis: leaves</t>
  </si>
  <si>
    <t>SRS10176830</t>
  </si>
  <si>
    <t>NDSW65387</t>
  </si>
  <si>
    <t>SRX12861767</t>
  </si>
  <si>
    <t>SRS10805012</t>
  </si>
  <si>
    <t>L69</t>
  </si>
  <si>
    <t>Quercus gambelii?</t>
  </si>
  <si>
    <t>SRX16781296</t>
  </si>
  <si>
    <t>Quercus gilva Illumina sequencing</t>
  </si>
  <si>
    <t>SRP388973</t>
  </si>
  <si>
    <t>Quercus gilva genome sequencing</t>
  </si>
  <si>
    <t>SRS14373115</t>
  </si>
  <si>
    <t>Qg_Genome_Illumina</t>
  </si>
  <si>
    <t>SRX21905958</t>
  </si>
  <si>
    <t>Quercus griffithii leaf</t>
  </si>
  <si>
    <t>South China Botanical Garden, Chinese Academy of S</t>
  </si>
  <si>
    <t>SRP396692</t>
  </si>
  <si>
    <t>Whole genome sequencing of Quercus griffithii</t>
  </si>
  <si>
    <t>SRS15080523</t>
  </si>
  <si>
    <t>06</t>
  </si>
  <si>
    <t>SRX17532077</t>
  </si>
  <si>
    <t>SRS15080524</t>
  </si>
  <si>
    <t>07</t>
  </si>
  <si>
    <t>SRX12861700</t>
  </si>
  <si>
    <t>SRS10804945</t>
  </si>
  <si>
    <t>L112</t>
  </si>
  <si>
    <t>SRX13186570</t>
  </si>
  <si>
    <t>SRS11115060</t>
  </si>
  <si>
    <t>SRX17532075</t>
  </si>
  <si>
    <t>SRS15080522</t>
  </si>
  <si>
    <t>05</t>
  </si>
  <si>
    <t>SRX12861697</t>
  </si>
  <si>
    <t>SRS10804942</t>
  </si>
  <si>
    <t>L110</t>
  </si>
  <si>
    <t>SRX13186564</t>
  </si>
  <si>
    <t>SRS11115053</t>
  </si>
  <si>
    <t>L38</t>
  </si>
  <si>
    <t>SRX13186565</t>
  </si>
  <si>
    <t>SRS11115055</t>
  </si>
  <si>
    <t>SRX13186571</t>
  </si>
  <si>
    <t>SRS11115061</t>
  </si>
  <si>
    <t>SRX7977507</t>
  </si>
  <si>
    <t>Whole-genome resequencing of Quercus guajavifolia:leaves of the tree</t>
  </si>
  <si>
    <t>SRS6362203</t>
  </si>
  <si>
    <t>NDSW66327</t>
  </si>
  <si>
    <t>SRX7977500</t>
  </si>
  <si>
    <t>SRS6362196</t>
  </si>
  <si>
    <t>NDSW66320</t>
  </si>
  <si>
    <t>SRX7977514</t>
  </si>
  <si>
    <t>SRS6362211</t>
  </si>
  <si>
    <t>NDSW66329</t>
  </si>
  <si>
    <t>SRX7977509</t>
  </si>
  <si>
    <t>SRS6362204</t>
  </si>
  <si>
    <t>NDSW65375</t>
  </si>
  <si>
    <t>SRX7977508</t>
  </si>
  <si>
    <t>SRS6362205</t>
  </si>
  <si>
    <t>NDSW66328</t>
  </si>
  <si>
    <t>SRX7977489</t>
  </si>
  <si>
    <t>SRS6362184</t>
  </si>
  <si>
    <t>NDSW48277</t>
  </si>
  <si>
    <t>SRX7977513</t>
  </si>
  <si>
    <t>SRS6362209</t>
  </si>
  <si>
    <t>NDSW66425</t>
  </si>
  <si>
    <t>SRX12861708</t>
  </si>
  <si>
    <t>SRS10804953</t>
  </si>
  <si>
    <t>L15</t>
  </si>
  <si>
    <t>Quercus ilex subsp. ballota</t>
  </si>
  <si>
    <t>SRX23546856</t>
  </si>
  <si>
    <t>DNA-seq of Quercus ilex subsp. Ballota: Holm oak tree producing sweet acorns without astringency</t>
  </si>
  <si>
    <t>Institute of Applied Biosciences; Centre for Resea</t>
  </si>
  <si>
    <t>SRP488391</t>
  </si>
  <si>
    <t>Acorns revaluation for human consumption: genomic selection and development of new functional foods (ACOFOOD)</t>
  </si>
  <si>
    <t>SRS20394633</t>
  </si>
  <si>
    <t>QIB_LE1_S</t>
  </si>
  <si>
    <t>SRX23546859</t>
  </si>
  <si>
    <t>DNA-seq of Quercus ilex subsp. Ballota: Holm oak tree producing bitter and astringent acorns.</t>
  </si>
  <si>
    <t>SRS20394636</t>
  </si>
  <si>
    <t>QIB_LE8_A</t>
  </si>
  <si>
    <t>SRX23546858</t>
  </si>
  <si>
    <t>SRS20394635</t>
  </si>
  <si>
    <t>QIB_LE3_S</t>
  </si>
  <si>
    <t>SRX1644611</t>
  </si>
  <si>
    <t>WGS of Quercus lobata: 500 bp inserts</t>
  </si>
  <si>
    <t>Illumina HiSeq 2500</t>
  </si>
  <si>
    <t>University of Maryland Center for Environmental Sc</t>
  </si>
  <si>
    <t>SRP072046</t>
  </si>
  <si>
    <t>Quercus lobata isolate:SW786 Genome sequencing and assembly</t>
  </si>
  <si>
    <t>SRS1244351</t>
  </si>
  <si>
    <t>Qlob_2</t>
  </si>
  <si>
    <t>SRX10972840</t>
  </si>
  <si>
    <t>DNA-seq of Quercus lobata: NOV.4.00F.w6</t>
  </si>
  <si>
    <t>SRS9050279</t>
  </si>
  <si>
    <t>Qlob.NOV.4.00F.w6</t>
  </si>
  <si>
    <t>SRX10972830</t>
  </si>
  <si>
    <t>DNA-seq of Quercus lobata: CR9.6.00F.w6</t>
  </si>
  <si>
    <t>SRS9050269</t>
  </si>
  <si>
    <t>Qlob.CR9.6.00F.w6</t>
  </si>
  <si>
    <t>SRX10972850</t>
  </si>
  <si>
    <t>DNA-seq of Quercus lobata: TAC.3.00F.w6</t>
  </si>
  <si>
    <t>SRS9050289</t>
  </si>
  <si>
    <t>Qlob.TAC.3.00F.w6</t>
  </si>
  <si>
    <t>SRX10972771</t>
  </si>
  <si>
    <t>DNA-seq of Quercus lobata: HAT.4.00F.b</t>
  </si>
  <si>
    <t>SRS9050210</t>
  </si>
  <si>
    <t>Qlob.HAT.4.00F.b</t>
  </si>
  <si>
    <t>SRX10972800</t>
  </si>
  <si>
    <t>DNA-seq of Quercus lobata: MAR.B.00F.c</t>
  </si>
  <si>
    <t>SRS9050239</t>
  </si>
  <si>
    <t>Qlob.MAR.B.00F.c</t>
  </si>
  <si>
    <t>SRX10972835</t>
  </si>
  <si>
    <t>DNA-seq of Quercus lobata: FT.10.00F.w6</t>
  </si>
  <si>
    <t>SRS9050274</t>
  </si>
  <si>
    <t>Qlob.FT.10.00F.w6</t>
  </si>
  <si>
    <t>SRX10972822</t>
  </si>
  <si>
    <t>DNA-seq of Quercus lobata: CR15.7.00F.w6</t>
  </si>
  <si>
    <t>SRS9050261</t>
  </si>
  <si>
    <t>Qlob.CR15.7.00F.w6</t>
  </si>
  <si>
    <t>SRX10972817</t>
  </si>
  <si>
    <t>DNA-seq of Quercus lobata: CR12.4.00F.w6</t>
  </si>
  <si>
    <t>SRS9050256</t>
  </si>
  <si>
    <t>Qlob.CR12.4.00F.w6</t>
  </si>
  <si>
    <t>SRX10972810</t>
  </si>
  <si>
    <t>DNA-seq of Quercus lobata: ANG.7.00F.w6</t>
  </si>
  <si>
    <t>SRS9050249</t>
  </si>
  <si>
    <t>Qlob.ANG.7.00F.w6</t>
  </si>
  <si>
    <t>SRX10972827</t>
  </si>
  <si>
    <t>DNA-seq of Quercus lobata: CR6.1.00F.w6</t>
  </si>
  <si>
    <t>SRS9050265</t>
  </si>
  <si>
    <t>Qlob.CR6.1.00F.w6</t>
  </si>
  <si>
    <t>SRX10972834</t>
  </si>
  <si>
    <t>DNA-seq of Quercus lobata: FT.1.00F.w6</t>
  </si>
  <si>
    <t>SRS9050273</t>
  </si>
  <si>
    <t>Qlob.FT.1.00F.w6</t>
  </si>
  <si>
    <t>SRX10972842</t>
  </si>
  <si>
    <t>DNA-seq of Quercus lobata: ORO.4.00F.w6</t>
  </si>
  <si>
    <t>SRS9050281</t>
  </si>
  <si>
    <t>Qlob.ORO.4.00F.w6</t>
  </si>
  <si>
    <t>SRX10972813</t>
  </si>
  <si>
    <t>DNA-seq of Quercus lobata: CD16.2.00F.w6</t>
  </si>
  <si>
    <t>SRS9050254</t>
  </si>
  <si>
    <t>Qlob.CD16.2.00F.w6</t>
  </si>
  <si>
    <t>SRX10972792</t>
  </si>
  <si>
    <t>DNA-seq of Quercus lobata: CR17.4.00F.b</t>
  </si>
  <si>
    <t>SRS9050231</t>
  </si>
  <si>
    <t>Qlob.CR17.4.00F.b</t>
  </si>
  <si>
    <t>SRX10972824</t>
  </si>
  <si>
    <t>DNA-seq of Quercus lobata: CR17.2.00F.w6</t>
  </si>
  <si>
    <t>SRS9050262</t>
  </si>
  <si>
    <t>Qlob.CR17.2.00F.w6</t>
  </si>
  <si>
    <t>SRX7977530</t>
  </si>
  <si>
    <t>SRS6362226</t>
  </si>
  <si>
    <t>NDSW66423</t>
  </si>
  <si>
    <t>SRX7977538</t>
  </si>
  <si>
    <t>SRS6362233</t>
  </si>
  <si>
    <t>NDSW66331</t>
  </si>
  <si>
    <t>SRX7977539</t>
  </si>
  <si>
    <t>SRS6362235</t>
  </si>
  <si>
    <t>NDSW65386</t>
  </si>
  <si>
    <t>SRX7977522</t>
  </si>
  <si>
    <t>SRS6362218</t>
  </si>
  <si>
    <t>NDSW48292</t>
  </si>
  <si>
    <t>SRX7977535</t>
  </si>
  <si>
    <t>SRS6362231</t>
  </si>
  <si>
    <t>NDSW66427</t>
  </si>
  <si>
    <t>SRX7977527</t>
  </si>
  <si>
    <t>SRS6362223</t>
  </si>
  <si>
    <t>NDSW66325</t>
  </si>
  <si>
    <t>SRX7977519</t>
  </si>
  <si>
    <t>SRS6362215</t>
  </si>
  <si>
    <t>NDSW48289</t>
  </si>
  <si>
    <t>SRX7977515</t>
  </si>
  <si>
    <t>SRS6362210</t>
  </si>
  <si>
    <t>NDSW48285</t>
  </si>
  <si>
    <t>SRX7977516</t>
  </si>
  <si>
    <t>SRS6362212</t>
  </si>
  <si>
    <t>NDSW48286</t>
  </si>
  <si>
    <t>SRX7977533</t>
  </si>
  <si>
    <t>SRS6362230</t>
  </si>
  <si>
    <t>NDSW66426</t>
  </si>
  <si>
    <t>SRX21905957</t>
  </si>
  <si>
    <t>Short Illumina reads of Quercus lyrata</t>
  </si>
  <si>
    <t>SRS18991850</t>
  </si>
  <si>
    <t>Illumina_lyrata</t>
  </si>
  <si>
    <t>SRX21905938</t>
  </si>
  <si>
    <t>Short Illumina reads of Quercus macrocarpa</t>
  </si>
  <si>
    <t>SRS18991832</t>
  </si>
  <si>
    <t>Illumina_macrocarpa</t>
  </si>
  <si>
    <t>SRX21905961</t>
  </si>
  <si>
    <t>SRS18991854</t>
  </si>
  <si>
    <t>Illumina_alba_3304_S23</t>
  </si>
  <si>
    <t>SRX7732723</t>
  </si>
  <si>
    <t>Genome sequencing of Quercus mongolica</t>
  </si>
  <si>
    <t>Shenyang Agricultural University</t>
  </si>
  <si>
    <t>SRP249652</t>
  </si>
  <si>
    <t>A chromosome-scale genome assembly of the Mongolian oak (Quercus mongolica)</t>
  </si>
  <si>
    <t>SRS6153101</t>
  </si>
  <si>
    <t>Qm_Illumina</t>
  </si>
  <si>
    <t>SRX14719858</t>
  </si>
  <si>
    <t>SRS12482116</t>
  </si>
  <si>
    <t>NHH2</t>
  </si>
  <si>
    <t>SRX14719857</t>
  </si>
  <si>
    <t>SRS12482117</t>
  </si>
  <si>
    <t>Dan2</t>
  </si>
  <si>
    <t>SRX12861800</t>
  </si>
  <si>
    <t>SRS10805045</t>
  </si>
  <si>
    <t>L99</t>
  </si>
  <si>
    <t>SRX12861690</t>
  </si>
  <si>
    <t>SRS10804935</t>
  </si>
  <si>
    <t>L103</t>
  </si>
  <si>
    <t>SRX12324410</t>
  </si>
  <si>
    <t>Re-sequencing of Quercus mongolica leaves</t>
  </si>
  <si>
    <t>SRP338507</t>
  </si>
  <si>
    <t>Quercus acutissima re-sequencing</t>
  </si>
  <si>
    <t>SRS10297560</t>
  </si>
  <si>
    <t>LP197059</t>
  </si>
  <si>
    <t>SRX12324411</t>
  </si>
  <si>
    <t>SRS10297561</t>
  </si>
  <si>
    <t>LP197068</t>
  </si>
  <si>
    <t>SRX12861696</t>
  </si>
  <si>
    <t>SRS10804941</t>
  </si>
  <si>
    <t>L109</t>
  </si>
  <si>
    <t>SRX12132439</t>
  </si>
  <si>
    <t>Whole-genome resequencing of Quercus monimotricha: leaves</t>
  </si>
  <si>
    <t>SRS10112182</t>
  </si>
  <si>
    <t>FDSW202122432-1r</t>
  </si>
  <si>
    <t>SRX12132440</t>
  </si>
  <si>
    <t>SRS10112183</t>
  </si>
  <si>
    <t>FDSW202122433-1r</t>
  </si>
  <si>
    <t>SRX12132441</t>
  </si>
  <si>
    <t>SRS10112184</t>
  </si>
  <si>
    <t>FDSW202122434-1r</t>
  </si>
  <si>
    <t>SRX12132444</t>
  </si>
  <si>
    <t>SRS10112187</t>
  </si>
  <si>
    <t>FDSW202353160-3r</t>
  </si>
  <si>
    <t>SRX12132443</t>
  </si>
  <si>
    <t>SRS10112186</t>
  </si>
  <si>
    <t>FDSW202353159-3r</t>
  </si>
  <si>
    <t>SRX12132442</t>
  </si>
  <si>
    <t>SRS10112185</t>
  </si>
  <si>
    <t>FDSW202353158-3r</t>
  </si>
  <si>
    <t>SRX21905937</t>
  </si>
  <si>
    <t>Short Illumina reads of Quercus montana</t>
  </si>
  <si>
    <t>SRS18991831</t>
  </si>
  <si>
    <t>Illumina_montana</t>
  </si>
  <si>
    <t>SRX21905960</t>
  </si>
  <si>
    <t>Short Illumina reads of Quercus michauxii</t>
  </si>
  <si>
    <t>SRS18991853</t>
  </si>
  <si>
    <t>Illumina_michauxii</t>
  </si>
  <si>
    <t>SRX12861737</t>
  </si>
  <si>
    <t>SRS10804982</t>
  </si>
  <si>
    <t>L41</t>
  </si>
  <si>
    <t>SRX12132467</t>
  </si>
  <si>
    <t>SRS10112210</t>
  </si>
  <si>
    <t>FDSW202122441-1r</t>
  </si>
  <si>
    <t>SRX12132466</t>
  </si>
  <si>
    <t>SRS10112209</t>
  </si>
  <si>
    <t>FDSW202353161-3r</t>
  </si>
  <si>
    <t>ERX2270292</t>
  </si>
  <si>
    <t>Illumina HiSeq 2000 paired end sequencing; Quercus acuta_Illumina_W</t>
  </si>
  <si>
    <t>ERP105626</t>
  </si>
  <si>
    <t>Secondary contacts between European white oaks reveal genes underlying reproductive isolation</t>
  </si>
  <si>
    <t>ERS2039489</t>
  </si>
  <si>
    <t>BAN_A_W</t>
  </si>
  <si>
    <t>ERX9556030</t>
  </si>
  <si>
    <t>Illumina HiSeq 4000 paired end sequencing</t>
  </si>
  <si>
    <t>INRA Bordeaux</t>
  </si>
  <si>
    <t>ERP139684</t>
  </si>
  <si>
    <t>Tracking ancient admixture and bud phenology using white oak palaeogenomes</t>
  </si>
  <si>
    <t>ERS12479984</t>
  </si>
  <si>
    <t>BXC_NOSDC_7_1_HM2YHBBXX.12BA021</t>
  </si>
  <si>
    <t>ERX9556029</t>
  </si>
  <si>
    <t>ERS12479983</t>
  </si>
  <si>
    <t>BXC_OOSDC_8_1_HM2YHBBXX.12BA022</t>
  </si>
  <si>
    <t>SRX14591666</t>
  </si>
  <si>
    <t>Whole Genome Sequencing of Q. petraea buds</t>
  </si>
  <si>
    <t>SRS12361791</t>
  </si>
  <si>
    <t>B00FLTL_Longchamps-136</t>
  </si>
  <si>
    <t>SRX14591674</t>
  </si>
  <si>
    <t>SRS12361799</t>
  </si>
  <si>
    <t>C000RI2_Gresigne-37</t>
  </si>
  <si>
    <t>SRX14591668</t>
  </si>
  <si>
    <t>SRS12361793</t>
  </si>
  <si>
    <t>B00FLTN_Gohrde-89</t>
  </si>
  <si>
    <t>SRX14591673</t>
  </si>
  <si>
    <t>SRS12361798</t>
  </si>
  <si>
    <t>B00FLTV_Lappwald-108</t>
  </si>
  <si>
    <t>SRX14591672</t>
  </si>
  <si>
    <t>SRS12361797</t>
  </si>
  <si>
    <t>B00FLTU_Berce-193</t>
  </si>
  <si>
    <t>SRX14591667</t>
  </si>
  <si>
    <t>SRS12361792</t>
  </si>
  <si>
    <t>B00FLTM_Troncais-189</t>
  </si>
  <si>
    <t>SRX14591671</t>
  </si>
  <si>
    <t>SRS12361796</t>
  </si>
  <si>
    <t>B00FLTR_St Sauvant-6</t>
  </si>
  <si>
    <t>ERX2270289</t>
  </si>
  <si>
    <t>ERX2270287</t>
  </si>
  <si>
    <t>ERX2270285</t>
  </si>
  <si>
    <t>ERX2270286</t>
  </si>
  <si>
    <t>ERX2270288</t>
  </si>
  <si>
    <t>ERX2270291</t>
  </si>
  <si>
    <t>SRX12861701</t>
  </si>
  <si>
    <t>SRS10804946</t>
  </si>
  <si>
    <t>L113</t>
  </si>
  <si>
    <t>SRX12132453</t>
  </si>
  <si>
    <t>Whole-genome resequencing of Quercus pseudosemecarpifolia: leaves</t>
  </si>
  <si>
    <t>SRS10112196</t>
  </si>
  <si>
    <t>FDSW202122439-1r</t>
  </si>
  <si>
    <t>SRX12132435</t>
  </si>
  <si>
    <t>SRS10112178</t>
  </si>
  <si>
    <t>FDSW202122438-1r</t>
  </si>
  <si>
    <t>SRX12132434</t>
  </si>
  <si>
    <t>SRS10112177</t>
  </si>
  <si>
    <t>FDSW202122437-1r</t>
  </si>
  <si>
    <t>SRX12132464</t>
  </si>
  <si>
    <t>SRS10112207</t>
  </si>
  <si>
    <t>FDSW202353157-3r</t>
  </si>
  <si>
    <t>ERX2270293</t>
  </si>
  <si>
    <t>ERS2039492</t>
  </si>
  <si>
    <t>BAN_B_W</t>
  </si>
  <si>
    <t>ERX2270278</t>
  </si>
  <si>
    <t>ERX2270272</t>
  </si>
  <si>
    <t>ERX2270271</t>
  </si>
  <si>
    <t>ERX2270273</t>
  </si>
  <si>
    <t>ERX2270277</t>
  </si>
  <si>
    <t>ERX2270275</t>
  </si>
  <si>
    <t>ERX2270274</t>
  </si>
  <si>
    <t>ERX2270276</t>
  </si>
  <si>
    <t>ERX2270282</t>
  </si>
  <si>
    <t>Quercus pyrenaica</t>
  </si>
  <si>
    <t>ERX2270258</t>
  </si>
  <si>
    <t>ERS2039490</t>
  </si>
  <si>
    <t>BAN_D_W</t>
  </si>
  <si>
    <t>ERX2270280</t>
  </si>
  <si>
    <t>ERX2270261</t>
  </si>
  <si>
    <t>ERX2270259</t>
  </si>
  <si>
    <t>ERX2270262</t>
  </si>
  <si>
    <t>ERX2270257</t>
  </si>
  <si>
    <t>ERX2270260</t>
  </si>
  <si>
    <t>ERX2270263</t>
  </si>
  <si>
    <t>ERX2270295</t>
  </si>
  <si>
    <t>ERX2270284</t>
  </si>
  <si>
    <t>SRX12132462</t>
  </si>
  <si>
    <t>SRS10112205</t>
  </si>
  <si>
    <t>FDSW202122435-1r</t>
  </si>
  <si>
    <t>SRX17083187</t>
  </si>
  <si>
    <t>Whole-genome resequencing of Quercus rehderiana</t>
  </si>
  <si>
    <t>SRS14664360</t>
  </si>
  <si>
    <t>FDSW202122443</t>
  </si>
  <si>
    <t>ERX1886619</t>
  </si>
  <si>
    <t>Illumina HiSeq 2000 paired end sequencing; chene</t>
  </si>
  <si>
    <t>ERP009466</t>
  </si>
  <si>
    <t>French 3P genotype</t>
  </si>
  <si>
    <t>ERS655107</t>
  </si>
  <si>
    <t>BBX_EOSW_r1</t>
  </si>
  <si>
    <t>ERX9556028</t>
  </si>
  <si>
    <t>ERS12479980</t>
  </si>
  <si>
    <t>BXC_MOSDC_6_1_HM2YHBBXX.12BA020</t>
  </si>
  <si>
    <t>SRX14591670</t>
  </si>
  <si>
    <t>Whole Genome Sequencing  of Q. robur buds</t>
  </si>
  <si>
    <t>SRS12361795</t>
  </si>
  <si>
    <t>B00FLTQ_Bourran-274</t>
  </si>
  <si>
    <t>ERX1886620</t>
  </si>
  <si>
    <t>ERS655108</t>
  </si>
  <si>
    <t>BBX_COSW_r1</t>
  </si>
  <si>
    <t>ERX1886622</t>
  </si>
  <si>
    <t>ERS655110</t>
  </si>
  <si>
    <t>BBX_AOSW_r1</t>
  </si>
  <si>
    <t>ERX1886616</t>
  </si>
  <si>
    <t>ERX1886617</t>
  </si>
  <si>
    <t>ERX1886621</t>
  </si>
  <si>
    <t>ERX1886618</t>
  </si>
  <si>
    <t>ERX2270279</t>
  </si>
  <si>
    <t>ERS2039491</t>
  </si>
  <si>
    <t>BAN_C_W</t>
  </si>
  <si>
    <t>ERX697295</t>
  </si>
  <si>
    <t>ERS655109</t>
  </si>
  <si>
    <t>BBX_DOSW_r1</t>
  </si>
  <si>
    <t>SRX12861744</t>
  </si>
  <si>
    <t>SRS10804989</t>
  </si>
  <si>
    <t>L48</t>
  </si>
  <si>
    <t>SRX12861709</t>
  </si>
  <si>
    <t>SRS10804954</t>
  </si>
  <si>
    <t>L16</t>
  </si>
  <si>
    <t>ERX9556033</t>
  </si>
  <si>
    <t>ERS12479988</t>
  </si>
  <si>
    <t>CRN_ADOSDC_6_1_HGCTHBBXY.12BA140</t>
  </si>
  <si>
    <t>SRX19558730</t>
  </si>
  <si>
    <t>Illumina paired-reads of Quercus rubra (Northern red oak) reference genome</t>
  </si>
  <si>
    <t>NextSeq 1000</t>
  </si>
  <si>
    <t>SRP425524</t>
  </si>
  <si>
    <t>Haplotype resolved chromosome-level genome assembly of Northern red oak (Quercus rubra L.)</t>
  </si>
  <si>
    <t>SRS16943218</t>
  </si>
  <si>
    <t>Illumina</t>
  </si>
  <si>
    <t>SRX22799027</t>
  </si>
  <si>
    <t>Short Illumina DNA reads of Quercus rubra: adult maternal grandparent of Quercus rubra reference genome</t>
  </si>
  <si>
    <t>SRS19782614</t>
  </si>
  <si>
    <t>Illumina 100bp x 2</t>
  </si>
  <si>
    <t>SRX12861707</t>
  </si>
  <si>
    <t>SRS10804952</t>
  </si>
  <si>
    <t>L14</t>
  </si>
  <si>
    <t>SRX17083190</t>
  </si>
  <si>
    <t>Whole-genome resequencing of Quercus semecarpifolia</t>
  </si>
  <si>
    <t>SRS14664363</t>
  </si>
  <si>
    <t>FDSW210297989</t>
  </si>
  <si>
    <t>SRX17083191</t>
  </si>
  <si>
    <t>SRS14664364</t>
  </si>
  <si>
    <t>FDSW210297990</t>
  </si>
  <si>
    <t>SRX12861753</t>
  </si>
  <si>
    <t>SRS10804998</t>
  </si>
  <si>
    <t>L56</t>
  </si>
  <si>
    <t>SRX12132468</t>
  </si>
  <si>
    <t>Whole-genome resequencing of Quercus senescens: leaves</t>
  </si>
  <si>
    <t>SRS10112211</t>
  </si>
  <si>
    <t>FDSW202122442-1r</t>
  </si>
  <si>
    <t>Quercus senescens var. muliensis</t>
  </si>
  <si>
    <t>SRX17083189</t>
  </si>
  <si>
    <t>Whole-genome resequencing of Quercus senescens var. muliensis</t>
  </si>
  <si>
    <t>SRS14664362</t>
  </si>
  <si>
    <t>FDSW210297991</t>
  </si>
  <si>
    <t>SRX12861705</t>
  </si>
  <si>
    <t>SRS10804950</t>
  </si>
  <si>
    <t>L117</t>
  </si>
  <si>
    <t>SRX12132471</t>
  </si>
  <si>
    <t>Whole-genome resequencing of Quercus spinosa: leaves</t>
  </si>
  <si>
    <t>SRS10112214</t>
  </si>
  <si>
    <t>FDSW202122431-1r</t>
  </si>
  <si>
    <t>SRX12132469</t>
  </si>
  <si>
    <t>SRS10112212</t>
  </si>
  <si>
    <t>FDSW202122428-1r</t>
  </si>
  <si>
    <t>SRX12132470</t>
  </si>
  <si>
    <t>SRS10112213</t>
  </si>
  <si>
    <t>FDSW202122430-1r</t>
  </si>
  <si>
    <t>SRX17083186</t>
  </si>
  <si>
    <t>Whole-genome resequencing of Quercus spinosa</t>
  </si>
  <si>
    <t>SRS14664359</t>
  </si>
  <si>
    <t>FDSW210297994</t>
  </si>
  <si>
    <t>Short Illumina reads of Quercus stellata</t>
  </si>
  <si>
    <t>SRS18991852</t>
  </si>
  <si>
    <t>Illumina_stellata</t>
  </si>
  <si>
    <t>SRX2998820</t>
  </si>
  <si>
    <t>WGS of Q. suber:complex genome using 170bp inserts</t>
  </si>
  <si>
    <t>HL8.2_CG_PE170</t>
  </si>
  <si>
    <t>SRX2998822</t>
  </si>
  <si>
    <t>WGS of Q. suber: genome survey using 170bp inserts</t>
  </si>
  <si>
    <t>GS_PE170</t>
  </si>
  <si>
    <t>SRX2998817</t>
  </si>
  <si>
    <t>WGS of Q. suber:mate pair using 5000bp inserts</t>
  </si>
  <si>
    <t>SOB15_CG_MP5000</t>
  </si>
  <si>
    <t>SRX2998823</t>
  </si>
  <si>
    <t>WGS of Q. suber: genome survey using 500bp inserts</t>
  </si>
  <si>
    <t>GS_PE500</t>
  </si>
  <si>
    <t>SRX12861717</t>
  </si>
  <si>
    <t>SRS10804962</t>
  </si>
  <si>
    <t>SRX2998815</t>
  </si>
  <si>
    <t>WGS of Q. suber:mate pair using 20Kbp inserts</t>
  </si>
  <si>
    <t>SOB36_CG_MP20000</t>
  </si>
  <si>
    <t>SRX2998814</t>
  </si>
  <si>
    <t>WGS of Q. suber:mate pair using 10Kbp inserts</t>
  </si>
  <si>
    <t>SOB37_CG_MP10000</t>
  </si>
  <si>
    <t>SRX12527998</t>
  </si>
  <si>
    <t>SRS10488261</t>
  </si>
  <si>
    <t>s0908-1-1_NDSW54386</t>
  </si>
  <si>
    <t>SRX12527981</t>
  </si>
  <si>
    <t>SRS10488244</t>
  </si>
  <si>
    <t>s0326-1-6_NDSW54417</t>
  </si>
  <si>
    <t>SRX12527988</t>
  </si>
  <si>
    <t>SRS10488251</t>
  </si>
  <si>
    <t>s0717-1-9_NDSW49917</t>
  </si>
  <si>
    <t>SRX12527970</t>
  </si>
  <si>
    <t>SRS10488233</t>
  </si>
  <si>
    <t>s1009-1-5_NDSW54411</t>
  </si>
  <si>
    <t>SRX12528002</t>
  </si>
  <si>
    <t>SRS10488265</t>
  </si>
  <si>
    <t>s0916-1-3_NDSW54395</t>
  </si>
  <si>
    <t>SRX12528001</t>
  </si>
  <si>
    <t>SRS10488264</t>
  </si>
  <si>
    <t>s0907-1-3_NDSW54438</t>
  </si>
  <si>
    <t>SRX12527995</t>
  </si>
  <si>
    <t>SRS10488258</t>
  </si>
  <si>
    <t>s0719-1-21_NDSW49842</t>
  </si>
  <si>
    <t>SRX12527993</t>
  </si>
  <si>
    <t>SRS10488255</t>
  </si>
  <si>
    <t>s0904-1-17_NDSW54377</t>
  </si>
  <si>
    <t>SRX12527994</t>
  </si>
  <si>
    <t>SRS10488257</t>
  </si>
  <si>
    <t>s0904-1-7_NDSW54436</t>
  </si>
  <si>
    <t>SRX12861799</t>
  </si>
  <si>
    <t>SRS10805044</t>
  </si>
  <si>
    <t>L98</t>
  </si>
  <si>
    <t>Supplementary Data 1 List of species sampled.</t>
  </si>
  <si>
    <t>samples ID</t>
  </si>
  <si>
    <t>Speceis</t>
  </si>
  <si>
    <t>Genus</t>
  </si>
  <si>
    <t>Sampling site</t>
  </si>
  <si>
    <t>Nuclear data source</t>
  </si>
  <si>
    <t>Plastid data source</t>
  </si>
  <si>
    <t>Resequencing depth</t>
  </si>
  <si>
    <t>Voucher specimen and garden accession number</t>
  </si>
  <si>
    <t>/</t>
  </si>
  <si>
    <t>Lithocarpus</t>
  </si>
  <si>
    <t>Jianfengling, Hainan, China</t>
  </si>
  <si>
    <t>dryad.vq83bk3tc***</t>
  </si>
  <si>
    <t>HongZhou-JFL2019-03</t>
  </si>
  <si>
    <t>Huizhou, Guangdong, China</t>
  </si>
  <si>
    <t>YS20190804-12</t>
  </si>
  <si>
    <t>Lithocarpus calophyllus</t>
  </si>
  <si>
    <t>SRR16661026</t>
  </si>
  <si>
    <t>YS20181201-11</t>
  </si>
  <si>
    <t>YS20181201-12</t>
  </si>
  <si>
    <t>Lithocarpus haipinii</t>
  </si>
  <si>
    <t>SRR16661023</t>
  </si>
  <si>
    <t>YS20181201-13</t>
  </si>
  <si>
    <t>Lithocarpus hancei</t>
  </si>
  <si>
    <t>SRR16661022</t>
  </si>
  <si>
    <t>YS20181201-14</t>
  </si>
  <si>
    <t>Lithocarpus amygdalifolius</t>
  </si>
  <si>
    <t>Wanshan, Guangdong, China</t>
  </si>
  <si>
    <t>SRR16661012</t>
  </si>
  <si>
    <t>YS20181207-4</t>
  </si>
  <si>
    <t>Wayao, Yunnan, China</t>
  </si>
  <si>
    <t>YNWY04</t>
  </si>
  <si>
    <t>Lithocarpus longipedicellatus</t>
  </si>
  <si>
    <t>SRR16661013</t>
  </si>
  <si>
    <t>HongZhou-JFL2019-04</t>
  </si>
  <si>
    <t>Lithocarpus tephrocarpus</t>
  </si>
  <si>
    <t>SRR16661046</t>
  </si>
  <si>
    <t>HongZhou-JFL2019-05</t>
  </si>
  <si>
    <t>Quercus suber (genome)</t>
  </si>
  <si>
    <t>PRJNA433227</t>
  </si>
  <si>
    <t>Orella St, Santa Barbara, California</t>
  </si>
  <si>
    <t>SRR16661087</t>
  </si>
  <si>
    <t>Manos &amp; Tucker 922 (BH)</t>
  </si>
  <si>
    <t>Quercus cerris_1</t>
  </si>
  <si>
    <t>Royal Botanic Gardens Kew, London, UK</t>
  </si>
  <si>
    <t>UK RBG 1973-11268</t>
  </si>
  <si>
    <t>Quercus cerris_2</t>
  </si>
  <si>
    <t>The Linnaeus Garden, Uppsala, Sweden</t>
  </si>
  <si>
    <t>SRR16661070</t>
  </si>
  <si>
    <t>1981-2376A</t>
  </si>
  <si>
    <t>Quercus cerris_3</t>
  </si>
  <si>
    <t>Shields Grove Arboretum, Yolo, California</t>
  </si>
  <si>
    <t>SRR16661086</t>
  </si>
  <si>
    <t>Manos 935 (BH)</t>
  </si>
  <si>
    <t>UK RBG 1969-13318</t>
  </si>
  <si>
    <t>Quercus acutissima_1</t>
  </si>
  <si>
    <t>Kunming, Yunnan, China</t>
  </si>
  <si>
    <t>SRR16661053</t>
  </si>
  <si>
    <t>YS20180630-2</t>
  </si>
  <si>
    <t>Quercus chenii_1</t>
  </si>
  <si>
    <t>Lianyungang, Jiangsu, China</t>
  </si>
  <si>
    <t>SRR16661047</t>
  </si>
  <si>
    <t>YS20180719-3</t>
  </si>
  <si>
    <t>Quercus chenii_2</t>
  </si>
  <si>
    <t>Hengyang, Hunan, China</t>
  </si>
  <si>
    <t>SRR16661040</t>
  </si>
  <si>
    <t>YS20180804-2</t>
  </si>
  <si>
    <t>Quercus acutissima_2</t>
  </si>
  <si>
    <t>Taian, Shandong, China</t>
  </si>
  <si>
    <t>SRR16661031</t>
  </si>
  <si>
    <t>YS20180916-2</t>
  </si>
  <si>
    <t>Quercus variabilis_1</t>
  </si>
  <si>
    <t>Wuming, Guangxi, China</t>
  </si>
  <si>
    <t>SRR16661030</t>
  </si>
  <si>
    <t>YS20181013-1</t>
  </si>
  <si>
    <t>Quercus variabilis_2</t>
  </si>
  <si>
    <t>Yizhang, Hubei, China</t>
  </si>
  <si>
    <t>SRR16661029</t>
  </si>
  <si>
    <t>YS20181026-1</t>
  </si>
  <si>
    <t>YS20181201-1</t>
  </si>
  <si>
    <t>Quercusedithiae</t>
  </si>
  <si>
    <t>HongZhou-JFL2019-06</t>
  </si>
  <si>
    <t>HongZhou-JFL2019-07</t>
  </si>
  <si>
    <t>Shigaozhen, Hunan, China</t>
  </si>
  <si>
    <t>HNSGZ1-1</t>
  </si>
  <si>
    <t>YS20181201-2</t>
  </si>
  <si>
    <t>YS20181201-4</t>
  </si>
  <si>
    <t>YS20181201-3</t>
  </si>
  <si>
    <t>HongZhou-JFL2019-08</t>
  </si>
  <si>
    <t>Dinghushan, Guangdong, China</t>
  </si>
  <si>
    <t>YS20181203-1</t>
  </si>
  <si>
    <t>Quercus ilex_1</t>
  </si>
  <si>
    <t>UCSB, Santa Barabara, California</t>
  </si>
  <si>
    <t>SRR16661096</t>
  </si>
  <si>
    <t>Manos 412 (BH)</t>
  </si>
  <si>
    <t>Quercus ilex_2</t>
  </si>
  <si>
    <t>UK RBG 1969-16161</t>
  </si>
  <si>
    <t>Quercus aquifolioides_1</t>
  </si>
  <si>
    <t>Bomi, Tibet, China</t>
  </si>
  <si>
    <t>SRR16661008</t>
  </si>
  <si>
    <t>YS20190728-1</t>
  </si>
  <si>
    <t>Quercus aquifolioides_2</t>
  </si>
  <si>
    <t>YS20190729-1</t>
  </si>
  <si>
    <t>Quercus senescens_1</t>
  </si>
  <si>
    <t>Xinping, Yunnan, China</t>
  </si>
  <si>
    <t>YS20180702-23</t>
  </si>
  <si>
    <t>Quercus senescens_2</t>
  </si>
  <si>
    <t>SRR16661051</t>
  </si>
  <si>
    <t>Taibai, Shaanxi, China</t>
  </si>
  <si>
    <t>YS20180903-4</t>
  </si>
  <si>
    <t>YS20181207-1</t>
  </si>
  <si>
    <t>Quercus monimotricha_1</t>
  </si>
  <si>
    <t>Judian, Yunnan, China</t>
  </si>
  <si>
    <t>YNJDZ3</t>
  </si>
  <si>
    <t>Quercus monimotricha_2</t>
  </si>
  <si>
    <t>SRR16661108</t>
  </si>
  <si>
    <t>Quercus pseudosemecarpifolia_1</t>
  </si>
  <si>
    <t>Zhanyi, Yunnan, China</t>
  </si>
  <si>
    <t>SRR16661103</t>
  </si>
  <si>
    <t>YNZY4</t>
  </si>
  <si>
    <t>Quercus pseudosemecarpifolia_2</t>
  </si>
  <si>
    <t>Wufeng, Hubei, China</t>
  </si>
  <si>
    <t>YS20190822-1</t>
  </si>
  <si>
    <t>YS20190822-2</t>
  </si>
  <si>
    <t>Quercus guyavaefolia</t>
  </si>
  <si>
    <t>HBL01</t>
  </si>
  <si>
    <t>Quercus rubra_1</t>
  </si>
  <si>
    <t>SRR16661060</t>
  </si>
  <si>
    <t>UK RBG 1969-16640</t>
  </si>
  <si>
    <t>Quercus rubra_2</t>
  </si>
  <si>
    <t>UK RBG 2000-5034</t>
  </si>
  <si>
    <t>Quercus rubra_3</t>
  </si>
  <si>
    <t>Cornell University, Tompkins, New York</t>
  </si>
  <si>
    <t>SRR16661095</t>
  </si>
  <si>
    <t>Manos s.n. (BH)</t>
  </si>
  <si>
    <t>UK RBG 1974-7114</t>
  </si>
  <si>
    <t>Quercus palustris_1</t>
  </si>
  <si>
    <t>Tompkins, New York</t>
  </si>
  <si>
    <t>Quercus palustris_2</t>
  </si>
  <si>
    <t>SRR16661067</t>
  </si>
  <si>
    <t>UK RBG 2008-985</t>
  </si>
  <si>
    <t>UK RBG 1986-1499</t>
  </si>
  <si>
    <t>Santa Barabara, California</t>
  </si>
  <si>
    <t>Manos 542 (BH)</t>
  </si>
  <si>
    <t>Riverside, California</t>
  </si>
  <si>
    <t>Manos 123 (BH)</t>
  </si>
  <si>
    <t>Quercus pogoda</t>
  </si>
  <si>
    <t>UK RBG 2007-109</t>
  </si>
  <si>
    <t>Los Angeles, Californi</t>
  </si>
  <si>
    <t>Nixon s.n. (BH)</t>
  </si>
  <si>
    <t>Gold Lake, Sierra, California</t>
  </si>
  <si>
    <t>Manos 962 (BH);</t>
  </si>
  <si>
    <t>Anacapa Island, Ventura, California</t>
  </si>
  <si>
    <t>Manos 545 (BH)</t>
  </si>
  <si>
    <t>Illinois River Watershed, Josephine, Oregon</t>
  </si>
  <si>
    <t>Burge 1777 (DUKE) PM 321-1</t>
  </si>
  <si>
    <t>Raulston Arboretum, Raleigh, NC</t>
  </si>
  <si>
    <t>Manos s.n. (DUKE)</t>
  </si>
  <si>
    <t>Double Helix Ranch, Mason, Texas</t>
  </si>
  <si>
    <t>D. Hillis s.n. (DUKE) PM 286-2</t>
  </si>
  <si>
    <t>School of Science and Mathematics, Durham, NC</t>
  </si>
  <si>
    <t>Quercus lobata(genome)</t>
  </si>
  <si>
    <t>PRJNA308314</t>
  </si>
  <si>
    <t>New World oak</t>
  </si>
  <si>
    <t>Manos 212 (BH)</t>
  </si>
  <si>
    <t>Quercus rugosa_1</t>
  </si>
  <si>
    <t>Morelos, Mexico</t>
  </si>
  <si>
    <t>SRR16661097</t>
  </si>
  <si>
    <t>Manos 570 (BH)</t>
  </si>
  <si>
    <t>Quercus rugosa_2</t>
  </si>
  <si>
    <t>UK RBG 1984-5278</t>
  </si>
  <si>
    <t>UK RBG 1969-17270</t>
  </si>
  <si>
    <t>Quercus alba_1</t>
  </si>
  <si>
    <t>Anderson Woods</t>
  </si>
  <si>
    <t>SRR16661076</t>
  </si>
  <si>
    <t>Quercus alba_2</t>
  </si>
  <si>
    <t>SRR16661075</t>
  </si>
  <si>
    <t>Quercus robur (genome)</t>
  </si>
  <si>
    <t>PRJEB19898</t>
  </si>
  <si>
    <t>UK RBG 000-73.18740</t>
  </si>
  <si>
    <t>SRR16661058</t>
  </si>
  <si>
    <t>UK RBG 1969-16021</t>
  </si>
  <si>
    <t>UK RBG 1969-16032</t>
  </si>
  <si>
    <t>Quercus fabrei_1</t>
  </si>
  <si>
    <t>Quercus fabrei</t>
  </si>
  <si>
    <t>Xinyang, Henan, China</t>
  </si>
  <si>
    <t>YS20180716-3</t>
  </si>
  <si>
    <t>Quercus fabrei_2</t>
  </si>
  <si>
    <t>Yingpanshan, Chongqing, China</t>
  </si>
  <si>
    <t>SRR16661037</t>
  </si>
  <si>
    <t>YS20180810-2</t>
  </si>
  <si>
    <t>Quercus serrata_1</t>
  </si>
  <si>
    <t>Huangshan, Anhui, China</t>
  </si>
  <si>
    <t>YS20180722-2</t>
  </si>
  <si>
    <t>Quercus serrata_2</t>
  </si>
  <si>
    <t>Xitiammu, zhejiang, China</t>
  </si>
  <si>
    <t>SRR16661099</t>
  </si>
  <si>
    <t>zjxtms04-01</t>
  </si>
  <si>
    <t>Quercus aliena_1</t>
  </si>
  <si>
    <t>Yuncheng, Shanxi, China</t>
  </si>
  <si>
    <t>SRR16661033</t>
  </si>
  <si>
    <t>YS20180908-2</t>
  </si>
  <si>
    <t>Quercus aliena_2</t>
  </si>
  <si>
    <t>Fangshan, Beijing, China</t>
  </si>
  <si>
    <t>SRR16661100</t>
  </si>
  <si>
    <t>Z0913-3-3</t>
  </si>
  <si>
    <t>Quercus dentata_2</t>
  </si>
  <si>
    <t>Shijiazhuang, Hebei, China</t>
  </si>
  <si>
    <t>SRR16661032</t>
  </si>
  <si>
    <t>YS20180911-4</t>
  </si>
  <si>
    <t>Quercus dentata_1</t>
  </si>
  <si>
    <t>Baoji, Shaanxi, China</t>
  </si>
  <si>
    <t>SRR16661036</t>
  </si>
  <si>
    <t>YS20180902-4</t>
  </si>
  <si>
    <t>Quercus liaotongensis_1</t>
  </si>
  <si>
    <t>Quercus liaotongensis</t>
  </si>
  <si>
    <t>Shifogou, Gansu, china</t>
  </si>
  <si>
    <t>YS20180828-1</t>
  </si>
  <si>
    <t>Quercus liaotongensis_2</t>
  </si>
  <si>
    <t>Jiaocheng, Shanxi, China</t>
  </si>
  <si>
    <t>SRR16661005</t>
  </si>
  <si>
    <t>YS20180909-1</t>
  </si>
  <si>
    <t>Quercus mongolica_1</t>
  </si>
  <si>
    <t>SRR16661004</t>
  </si>
  <si>
    <t>YS20180911-2</t>
  </si>
  <si>
    <t>Quercus mongolica_2</t>
  </si>
  <si>
    <t>Qinhuangdao, Heibei, China</t>
  </si>
  <si>
    <t>SRR16661114</t>
  </si>
  <si>
    <t>Zhou20180914-2</t>
  </si>
  <si>
    <t>Quercus griffithii_1</t>
  </si>
  <si>
    <t>SRR16661107</t>
  </si>
  <si>
    <t>YNZY1</t>
  </si>
  <si>
    <t>Quercus griffithii_2</t>
  </si>
  <si>
    <t>SRR16661104</t>
  </si>
  <si>
    <t>YNKMXS3</t>
  </si>
  <si>
    <t>Subsection</t>
  </si>
  <si>
    <t>Albae</t>
  </si>
  <si>
    <t>Roburoids</t>
  </si>
  <si>
    <t>Dumosae</t>
  </si>
  <si>
    <t>Prinoids</t>
  </si>
  <si>
    <t>Stellatae</t>
  </si>
  <si>
    <t>Leucomexicana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</si>
</sst>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2.0"/>
      <color theme="1"/>
      <name val="Aptos Narrow"/>
      <scheme val="minor"/>
    </font>
    <font>
      <b/>
      <color theme="1"/>
      <name val="Arial"/>
    </font>
    <font>
      <b/>
      <sz val="12.0"/>
      <color theme="1"/>
      <name val="Aptos Narrow"/>
    </font>
    <font>
      <b/>
      <sz val="12.0"/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  <font>
      <sz val="12.0"/>
      <color rgb="FF000000"/>
      <name val="Arial"/>
    </font>
    <font>
      <u/>
      <color rgb="FF1155CC"/>
      <name val="Arial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  <name val="Arial"/>
    </font>
    <font>
      <sz val="12.0"/>
      <color theme="1"/>
      <name val="Arial"/>
    </font>
    <font>
      <sz val="12.0"/>
      <color rgb="FF000000"/>
      <name val="&quot;Aptos Narrow&quot;"/>
    </font>
    <font>
      <color theme="1"/>
      <name val="Arial"/>
    </font>
    <font>
      <b/>
      <color theme="1"/>
      <name val="Aptos Narrow"/>
      <scheme val="minor"/>
    </font>
    <font>
      <strike/>
      <sz val="12.0"/>
      <color rgb="FF000000"/>
      <name val="&quot;Aptos Narrow&quot;"/>
    </font>
    <font>
      <strike/>
      <sz val="12.0"/>
      <color rgb="FF000000"/>
      <name val="Arial"/>
    </font>
    <font>
      <sz val="12.0"/>
      <color rgb="FF000000"/>
      <name val="Monospace"/>
    </font>
    <font>
      <color rgb="FF000000"/>
      <name val="Arial"/>
    </font>
    <font>
      <sz val="11.0"/>
      <color rgb="FF424242"/>
      <name val="Aptos Narrow"/>
      <scheme val="minor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i/>
      <sz val="12.0"/>
      <color rgb="FF000000"/>
      <name val="&quot;Times New Roman&quot;"/>
    </font>
    <font>
      <i/>
      <sz val="12.0"/>
      <color theme="1"/>
      <name val="&quot;Times New Roman&quot;"/>
    </font>
    <font>
      <sz val="12.0"/>
      <color theme="1"/>
      <name val="&quot;Times New Roman&quot;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AE2D5"/>
        <bgColor rgb="FFFAE2D5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EEEEEE"/>
        <bgColor rgb="FFEEEEEE"/>
      </patternFill>
    </fill>
  </fills>
  <borders count="5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/>
    </xf>
    <xf borderId="0" fillId="2" fontId="1" numFmtId="0" xfId="0" applyAlignment="1" applyFill="1" applyFont="1">
      <alignment horizontal="left" readingOrder="0"/>
    </xf>
    <xf borderId="0" fillId="2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2" fontId="3" numFmtId="1" xfId="0" applyAlignment="1" applyFont="1" applyNumberFormat="1">
      <alignment horizontal="left" readingOrder="0"/>
    </xf>
    <xf borderId="0" fillId="0" fontId="3" numFmtId="1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horizontal="left"/>
    </xf>
    <xf borderId="0" fillId="2" fontId="4" numFmtId="4" xfId="0" applyAlignment="1" applyFont="1" applyNumberFormat="1">
      <alignment horizontal="left"/>
    </xf>
    <xf borderId="0" fillId="0" fontId="4" numFmtId="4" xfId="0" applyAlignment="1" applyFont="1" applyNumberFormat="1">
      <alignment horizontal="left"/>
    </xf>
    <xf borderId="0" fillId="2" fontId="4" numFmtId="2" xfId="0" applyAlignment="1" applyFont="1" applyNumberFormat="1">
      <alignment horizontal="left" readingOrder="0"/>
    </xf>
    <xf borderId="0" fillId="0" fontId="4" numFmtId="2" xfId="0" applyAlignment="1" applyFont="1" applyNumberFormat="1">
      <alignment horizontal="left" readingOrder="0"/>
    </xf>
    <xf borderId="0" fillId="0" fontId="4" numFmtId="2" xfId="0" applyAlignment="1" applyFont="1" applyNumberFormat="1">
      <alignment horizontal="left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borderId="0" fillId="0" fontId="4" numFmtId="0" xfId="0" applyFont="1"/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horizontal="left" readingOrder="0"/>
    </xf>
    <xf borderId="0" fillId="0" fontId="10" numFmtId="0" xfId="0" applyAlignment="1" applyFont="1">
      <alignment readingOrder="0"/>
    </xf>
    <xf borderId="0" fillId="0" fontId="4" numFmtId="0" xfId="0" applyFont="1"/>
    <xf borderId="0" fillId="0" fontId="11" numFmtId="0" xfId="0" applyAlignment="1" applyFont="1">
      <alignment horizontal="left" readingOrder="0"/>
    </xf>
    <xf borderId="0" fillId="3" fontId="5" numFmtId="0" xfId="0" applyAlignment="1" applyFill="1" applyFont="1">
      <alignment horizontal="left"/>
    </xf>
    <xf borderId="2" fillId="0" fontId="5" numFmtId="0" xfId="0" applyAlignment="1" applyBorder="1" applyFont="1">
      <alignment horizontal="left"/>
    </xf>
    <xf borderId="2" fillId="3" fontId="12" numFmtId="0" xfId="0" applyAlignment="1" applyBorder="1" applyFont="1">
      <alignment horizontal="left" readingOrder="0"/>
    </xf>
    <xf borderId="2" fillId="3" fontId="5" numFmtId="0" xfId="0" applyAlignment="1" applyBorder="1" applyFont="1">
      <alignment horizontal="left"/>
    </xf>
    <xf borderId="2" fillId="0" fontId="13" numFmtId="0" xfId="0" applyAlignment="1" applyBorder="1" applyFont="1">
      <alignment readingOrder="0" shrinkToFit="0" vertical="bottom" wrapText="0"/>
    </xf>
    <xf borderId="2" fillId="0" fontId="12" numFmtId="0" xfId="0" applyAlignment="1" applyBorder="1" applyFont="1">
      <alignment horizontal="left" readingOrder="0"/>
    </xf>
    <xf borderId="0" fillId="0" fontId="13" numFmtId="2" xfId="0" applyAlignment="1" applyFont="1" applyNumberFormat="1">
      <alignment horizontal="lef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left" readingOrder="0"/>
    </xf>
    <xf borderId="0" fillId="0" fontId="5" numFmtId="0" xfId="0" applyFont="1"/>
    <xf borderId="0" fillId="0" fontId="13" numFmtId="2" xfId="0" applyAlignment="1" applyFont="1" applyNumberFormat="1">
      <alignment horizontal="left" shrinkToFit="0" vertical="bottom" wrapText="0"/>
    </xf>
    <xf borderId="0" fillId="3" fontId="5" numFmtId="0" xfId="0" applyFont="1"/>
    <xf borderId="0" fillId="0" fontId="4" numFmtId="0" xfId="0" applyAlignment="1" applyFont="1">
      <alignment readingOrder="0"/>
    </xf>
    <xf borderId="0" fillId="4" fontId="12" numFmtId="0" xfId="0" applyAlignment="1" applyFill="1" applyFont="1">
      <alignment horizontal="left" readingOrder="0"/>
    </xf>
    <xf borderId="0" fillId="4" fontId="14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4" numFmtId="0" xfId="0" applyFont="1"/>
    <xf borderId="0" fillId="4" fontId="14" numFmtId="0" xfId="0" applyAlignment="1" applyFont="1">
      <alignment horizontal="left" readingOrder="0"/>
    </xf>
    <xf borderId="0" fillId="0" fontId="13" numFmtId="11" xfId="0" applyAlignment="1" applyFont="1" applyNumberFormat="1">
      <alignment horizontal="right" readingOrder="0" shrinkToFit="0" vertical="bottom" wrapText="0"/>
    </xf>
    <xf borderId="2" fillId="0" fontId="4" numFmtId="0" xfId="0" applyBorder="1" applyFont="1"/>
    <xf borderId="0" fillId="0" fontId="4" numFmtId="0" xfId="0" applyFont="1"/>
    <xf borderId="0" fillId="2" fontId="4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2" fontId="4" numFmtId="1" xfId="0" applyAlignment="1" applyFont="1" applyNumberFormat="1">
      <alignment horizontal="left"/>
    </xf>
    <xf borderId="0" fillId="0" fontId="4" numFmtId="1" xfId="0" applyAlignment="1" applyFont="1" applyNumberFormat="1">
      <alignment horizontal="left"/>
    </xf>
    <xf borderId="0" fillId="2" fontId="4" numFmtId="0" xfId="0" applyFont="1"/>
    <xf borderId="0" fillId="2" fontId="5" numFmtId="0" xfId="0" applyAlignment="1" applyFont="1">
      <alignment horizontal="left"/>
    </xf>
    <xf borderId="0" fillId="2" fontId="5" numFmtId="1" xfId="0" applyAlignment="1" applyFont="1" applyNumberFormat="1">
      <alignment horizontal="left"/>
    </xf>
    <xf borderId="0" fillId="0" fontId="5" numFmtId="1" xfId="0" applyAlignment="1" applyFont="1" applyNumberFormat="1">
      <alignment horizontal="left"/>
    </xf>
    <xf borderId="0" fillId="5" fontId="4" numFmtId="0" xfId="0" applyFill="1" applyFont="1"/>
    <xf borderId="0" fillId="0" fontId="15" numFmtId="0" xfId="0" applyFont="1"/>
    <xf borderId="0" fillId="0" fontId="15" numFmtId="0" xfId="0" applyFont="1"/>
    <xf borderId="0" fillId="0" fontId="4" numFmtId="4" xfId="0" applyFont="1" applyNumberFormat="1"/>
    <xf borderId="0" fillId="0" fontId="13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6" fontId="6" numFmtId="0" xfId="0" applyAlignment="1" applyFill="1" applyFont="1">
      <alignment horizontal="left" readingOrder="0"/>
    </xf>
    <xf borderId="0" fillId="6" fontId="18" numFmtId="0" xfId="0" applyAlignment="1" applyFont="1">
      <alignment horizontal="left" readingOrder="0"/>
    </xf>
    <xf borderId="0" fillId="6" fontId="19" numFmtId="0" xfId="0" applyAlignment="1" applyFont="1">
      <alignment horizontal="left" readingOrder="0"/>
    </xf>
    <xf borderId="0" fillId="0" fontId="20" numFmtId="0" xfId="0" applyAlignment="1" applyFont="1">
      <alignment readingOrder="0"/>
    </xf>
    <xf borderId="0" fillId="0" fontId="2" numFmtId="0" xfId="0" applyFont="1"/>
    <xf quotePrefix="1" borderId="0" fillId="0" fontId="5" numFmtId="0" xfId="0" applyFont="1"/>
    <xf borderId="0" fillId="0" fontId="19" numFmtId="0" xfId="0" applyFont="1"/>
    <xf borderId="0" fillId="0" fontId="21" numFmtId="0" xfId="0" applyAlignment="1" applyFont="1">
      <alignment readingOrder="0" shrinkToFit="0" wrapText="0"/>
    </xf>
    <xf borderId="0" fillId="0" fontId="22" numFmtId="0" xfId="0" applyAlignment="1" applyFont="1">
      <alignment shrinkToFit="0" wrapText="0"/>
    </xf>
    <xf borderId="0" fillId="0" fontId="22" numFmtId="0" xfId="0" applyAlignment="1" applyFont="1">
      <alignment horizontal="left" shrinkToFit="0" wrapText="0"/>
    </xf>
    <xf borderId="3" fillId="0" fontId="22" numFmtId="0" xfId="0" applyAlignment="1" applyBorder="1" applyFont="1">
      <alignment readingOrder="0"/>
    </xf>
    <xf borderId="3" fillId="0" fontId="22" numFmtId="0" xfId="0" applyAlignment="1" applyBorder="1" applyFont="1">
      <alignment horizontal="left" readingOrder="0"/>
    </xf>
    <xf borderId="0" fillId="0" fontId="22" numFmtId="0" xfId="0" applyAlignment="1" applyFont="1">
      <alignment horizontal="left" readingOrder="0"/>
    </xf>
    <xf borderId="0" fillId="0" fontId="23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horizontal="left" readingOrder="0"/>
    </xf>
    <xf borderId="4" fillId="0" fontId="22" numFmtId="0" xfId="0" applyAlignment="1" applyBorder="1" applyFont="1">
      <alignment horizontal="left" readingOrder="0"/>
    </xf>
    <xf borderId="4" fillId="0" fontId="2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race.ncbi.nlm.nih.gov/Traces?run=SRR18067226" TargetMode="External"/><Relationship Id="rId42" Type="http://schemas.openxmlformats.org/officeDocument/2006/relationships/hyperlink" Target="https://trace.ncbi.nlm.nih.gov/Traces?run=SRR16661065" TargetMode="External"/><Relationship Id="rId41" Type="http://schemas.openxmlformats.org/officeDocument/2006/relationships/hyperlink" Target="https://trace.ncbi.nlm.nih.gov/Traces?run=SRR16661059" TargetMode="External"/><Relationship Id="rId44" Type="http://schemas.openxmlformats.org/officeDocument/2006/relationships/hyperlink" Target="https://trace.ncbi.nlm.nih.gov/Traces?run=SRR16661084" TargetMode="External"/><Relationship Id="rId43" Type="http://schemas.openxmlformats.org/officeDocument/2006/relationships/hyperlink" Target="https://trace.ncbi.nlm.nih.gov/Traces?run=SRR16661082" TargetMode="External"/><Relationship Id="rId46" Type="http://schemas.openxmlformats.org/officeDocument/2006/relationships/hyperlink" Target="https://trace.ncbi.nlm.nih.gov/Traces?run=SRR16661088" TargetMode="External"/><Relationship Id="rId45" Type="http://schemas.openxmlformats.org/officeDocument/2006/relationships/hyperlink" Target="https://trace.ncbi.nlm.nih.gov/Traces?run=SRR16661091" TargetMode="External"/><Relationship Id="rId1" Type="http://schemas.openxmlformats.org/officeDocument/2006/relationships/hyperlink" Target="https://trace.ncbi.nlm.nih.gov/Traces?run=SRR16661056" TargetMode="External"/><Relationship Id="rId2" Type="http://schemas.openxmlformats.org/officeDocument/2006/relationships/hyperlink" Target="https://trace.ncbi.nlm.nih.gov/Traces?run=SRR16661061" TargetMode="External"/><Relationship Id="rId3" Type="http://schemas.openxmlformats.org/officeDocument/2006/relationships/hyperlink" Target="https://trace.ncbi.nlm.nih.gov/Traces?run=SRR16248170" TargetMode="External"/><Relationship Id="rId4" Type="http://schemas.openxmlformats.org/officeDocument/2006/relationships/hyperlink" Target="https://trace.ncbi.nlm.nih.gov/Traces?run=SRR5820934" TargetMode="External"/><Relationship Id="rId9" Type="http://schemas.openxmlformats.org/officeDocument/2006/relationships/hyperlink" Target="https://trace.ncbi.nlm.nih.gov/Traces?run=SRR16661020" TargetMode="External"/><Relationship Id="rId48" Type="http://schemas.openxmlformats.org/officeDocument/2006/relationships/hyperlink" Target="https://trace.ncbi.nlm.nih.gov/Traces?run=SRR28975510" TargetMode="External"/><Relationship Id="rId47" Type="http://schemas.openxmlformats.org/officeDocument/2006/relationships/hyperlink" Target="https://trace.ncbi.nlm.nih.gov/Traces?run=SRR16661089" TargetMode="External"/><Relationship Id="rId49" Type="http://schemas.openxmlformats.org/officeDocument/2006/relationships/hyperlink" Target="https://trace.ncbi.nlm.nih.gov/Traces?run=SRR16661062" TargetMode="External"/><Relationship Id="rId5" Type="http://schemas.openxmlformats.org/officeDocument/2006/relationships/hyperlink" Target="https://trace.ncbi.nlm.nih.gov/Traces?run=SRR16248109" TargetMode="External"/><Relationship Id="rId6" Type="http://schemas.openxmlformats.org/officeDocument/2006/relationships/hyperlink" Target="https://trace.ncbi.nlm.nih.gov/Traces?run=SRR16661019" TargetMode="External"/><Relationship Id="rId7" Type="http://schemas.openxmlformats.org/officeDocument/2006/relationships/hyperlink" Target="https://trace.ncbi.nlm.nih.gov/Traces?run=SRR16661021" TargetMode="External"/><Relationship Id="rId8" Type="http://schemas.openxmlformats.org/officeDocument/2006/relationships/hyperlink" Target="https://trace.ncbi.nlm.nih.gov/Traces?run=SRR16661090" TargetMode="External"/><Relationship Id="rId31" Type="http://schemas.openxmlformats.org/officeDocument/2006/relationships/hyperlink" Target="https://trace.ncbi.nlm.nih.gov/Traces?run=SRR16661024" TargetMode="External"/><Relationship Id="rId30" Type="http://schemas.openxmlformats.org/officeDocument/2006/relationships/hyperlink" Target="https://trace.ncbi.nlm.nih.gov/Traces?run=SRR16661034" TargetMode="External"/><Relationship Id="rId33" Type="http://schemas.openxmlformats.org/officeDocument/2006/relationships/hyperlink" Target="https://trace.ncbi.nlm.nih.gov/Traces?run=SRR16661105" TargetMode="External"/><Relationship Id="rId32" Type="http://schemas.openxmlformats.org/officeDocument/2006/relationships/hyperlink" Target="https://trace.ncbi.nlm.nih.gov/Traces?run=SRR16661025" TargetMode="External"/><Relationship Id="rId35" Type="http://schemas.openxmlformats.org/officeDocument/2006/relationships/hyperlink" Target="https://trace.ncbi.nlm.nih.gov/Traces?run=SRR16661094" TargetMode="External"/><Relationship Id="rId34" Type="http://schemas.openxmlformats.org/officeDocument/2006/relationships/hyperlink" Target="https://trace.ncbi.nlm.nih.gov/Traces?run=SRR16661028" TargetMode="External"/><Relationship Id="rId37" Type="http://schemas.openxmlformats.org/officeDocument/2006/relationships/hyperlink" Target="https://trace.ncbi.nlm.nih.gov/Traces?run=SRR16661092" TargetMode="External"/><Relationship Id="rId36" Type="http://schemas.openxmlformats.org/officeDocument/2006/relationships/hyperlink" Target="https://trace.ncbi.nlm.nih.gov/Traces?run=SRR16661069" TargetMode="External"/><Relationship Id="rId39" Type="http://schemas.openxmlformats.org/officeDocument/2006/relationships/hyperlink" Target="https://trace.ncbi.nlm.nih.gov/Traces?run=SRR16661093" TargetMode="External"/><Relationship Id="rId38" Type="http://schemas.openxmlformats.org/officeDocument/2006/relationships/hyperlink" Target="https://trace.ncbi.nlm.nih.gov/Traces?run=SRR16661066" TargetMode="External"/><Relationship Id="rId62" Type="http://schemas.openxmlformats.org/officeDocument/2006/relationships/hyperlink" Target="https://trace.ncbi.nlm.nih.gov/Traces?run=SRR16661006" TargetMode="External"/><Relationship Id="rId61" Type="http://schemas.openxmlformats.org/officeDocument/2006/relationships/hyperlink" Target="https://trace.ncbi.nlm.nih.gov/Traces?run=SRR16661043" TargetMode="External"/><Relationship Id="rId20" Type="http://schemas.openxmlformats.org/officeDocument/2006/relationships/hyperlink" Target="https://trace.ncbi.nlm.nih.gov/Traces?run=SRR16661119" TargetMode="External"/><Relationship Id="rId64" Type="http://schemas.openxmlformats.org/officeDocument/2006/relationships/hyperlink" Target="https://trace.ncbi.nlm.nih.gov/Traces?run=SRR16661077" TargetMode="External"/><Relationship Id="rId63" Type="http://schemas.openxmlformats.org/officeDocument/2006/relationships/hyperlink" Target="https://trace.ncbi.nlm.nih.gov/Traces?run=SRR16661085" TargetMode="External"/><Relationship Id="rId22" Type="http://schemas.openxmlformats.org/officeDocument/2006/relationships/hyperlink" Target="https://trace.ncbi.nlm.nih.gov/Traces?run=SRR11398747" TargetMode="External"/><Relationship Id="rId21" Type="http://schemas.openxmlformats.org/officeDocument/2006/relationships/hyperlink" Target="https://trace.ncbi.nlm.nih.gov/Traces?run=SRR16661054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trace.ncbi.nlm.nih.gov/Traces?run=SRR15841088" TargetMode="External"/><Relationship Id="rId23" Type="http://schemas.openxmlformats.org/officeDocument/2006/relationships/hyperlink" Target="https://trace.ncbi.nlm.nih.gov/Traces?run=SRR16661109" TargetMode="External"/><Relationship Id="rId60" Type="http://schemas.openxmlformats.org/officeDocument/2006/relationships/hyperlink" Target="https://trace.ncbi.nlm.nih.gov/Traces?run=SRR16661064" TargetMode="External"/><Relationship Id="rId26" Type="http://schemas.openxmlformats.org/officeDocument/2006/relationships/hyperlink" Target="https://trace.ncbi.nlm.nih.gov/Traces?run=SRR16661014" TargetMode="External"/><Relationship Id="rId25" Type="http://schemas.openxmlformats.org/officeDocument/2006/relationships/hyperlink" Target="https://trace.ncbi.nlm.nih.gov/Traces?run=SRR16661102" TargetMode="External"/><Relationship Id="rId28" Type="http://schemas.openxmlformats.org/officeDocument/2006/relationships/hyperlink" Target="https://trace.ncbi.nlm.nih.gov/Traces?run=SRR15841116" TargetMode="External"/><Relationship Id="rId27" Type="http://schemas.openxmlformats.org/officeDocument/2006/relationships/hyperlink" Target="https://trace.ncbi.nlm.nih.gov/Traces?run=SRR15841090" TargetMode="External"/><Relationship Id="rId29" Type="http://schemas.openxmlformats.org/officeDocument/2006/relationships/hyperlink" Target="https://trace.ncbi.nlm.nih.gov/Traces?run=SRR16661052" TargetMode="External"/><Relationship Id="rId51" Type="http://schemas.openxmlformats.org/officeDocument/2006/relationships/hyperlink" Target="https://trace.ncbi.nlm.nih.gov/Traces?run=SRR28383171" TargetMode="External"/><Relationship Id="rId50" Type="http://schemas.openxmlformats.org/officeDocument/2006/relationships/hyperlink" Target="https://trace.ncbi.nlm.nih.gov/Traces?run=SRR16996302" TargetMode="External"/><Relationship Id="rId53" Type="http://schemas.openxmlformats.org/officeDocument/2006/relationships/hyperlink" Target="https://trace.ncbi.nlm.nih.gov/Traces?run=SRR16661048" TargetMode="External"/><Relationship Id="rId52" Type="http://schemas.openxmlformats.org/officeDocument/2006/relationships/hyperlink" Target="https://trace.ncbi.nlm.nih.gov/Traces?run=SRR16661098" TargetMode="External"/><Relationship Id="rId11" Type="http://schemas.openxmlformats.org/officeDocument/2006/relationships/hyperlink" Target="https://trace.ncbi.nlm.nih.gov/Traces?run=SRR20997956" TargetMode="External"/><Relationship Id="rId55" Type="http://schemas.openxmlformats.org/officeDocument/2006/relationships/hyperlink" Target="https://trace.ncbi.nlm.nih.gov/Traces?run=SRR14632992" TargetMode="External"/><Relationship Id="rId10" Type="http://schemas.openxmlformats.org/officeDocument/2006/relationships/hyperlink" Target="https://trace.ncbi.nlm.nih.gov/Traces?run=SRR16661118" TargetMode="External"/><Relationship Id="rId54" Type="http://schemas.openxmlformats.org/officeDocument/2006/relationships/hyperlink" Target="https://trace.ncbi.nlm.nih.gov/Traces?run=SRR16996285" TargetMode="External"/><Relationship Id="rId13" Type="http://schemas.openxmlformats.org/officeDocument/2006/relationships/hyperlink" Target="https://trace.ncbi.nlm.nih.gov/Traces?run=SRR16661027" TargetMode="External"/><Relationship Id="rId57" Type="http://schemas.openxmlformats.org/officeDocument/2006/relationships/hyperlink" Target="https://trace.ncbi.nlm.nih.gov/Traces?run=SRR18459034" TargetMode="External"/><Relationship Id="rId12" Type="http://schemas.openxmlformats.org/officeDocument/2006/relationships/hyperlink" Target="https://trace.ncbi.nlm.nih.gov/Traces?run=SRR16661015" TargetMode="External"/><Relationship Id="rId56" Type="http://schemas.openxmlformats.org/officeDocument/2006/relationships/hyperlink" Target="https://trace.ncbi.nlm.nih.gov/Traces?run=SRR18591256" TargetMode="External"/><Relationship Id="rId15" Type="http://schemas.openxmlformats.org/officeDocument/2006/relationships/hyperlink" Target="https://trace.ncbi.nlm.nih.gov/Traces?run=SRR25725048" TargetMode="External"/><Relationship Id="rId59" Type="http://schemas.openxmlformats.org/officeDocument/2006/relationships/hyperlink" Target="https://trace.ncbi.nlm.nih.gov/Traces?run=SRR16661063" TargetMode="External"/><Relationship Id="rId14" Type="http://schemas.openxmlformats.org/officeDocument/2006/relationships/hyperlink" Target="https://trace.ncbi.nlm.nih.gov/Traces?run=SRR16661079" TargetMode="External"/><Relationship Id="rId58" Type="http://schemas.openxmlformats.org/officeDocument/2006/relationships/hyperlink" Target="https://trace.ncbi.nlm.nih.gov/Traces?run=SRR16661055" TargetMode="External"/><Relationship Id="rId17" Type="http://schemas.openxmlformats.org/officeDocument/2006/relationships/hyperlink" Target="https://trace.ncbi.nlm.nih.gov/Traces?run=SRR16661007" TargetMode="External"/><Relationship Id="rId16" Type="http://schemas.openxmlformats.org/officeDocument/2006/relationships/hyperlink" Target="https://trace.ncbi.nlm.nih.gov/Traces?run=SRR16661117" TargetMode="External"/><Relationship Id="rId19" Type="http://schemas.openxmlformats.org/officeDocument/2006/relationships/hyperlink" Target="https://trace.ncbi.nlm.nih.gov/Traces?run=SRR16661110" TargetMode="External"/><Relationship Id="rId18" Type="http://schemas.openxmlformats.org/officeDocument/2006/relationships/hyperlink" Target="https://trace.ncbi.nlm.nih.gov/Traces?run=SRR1666111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trace.ncbi.nlm.nih.gov/Traces?run=SRR15841088" TargetMode="External"/><Relationship Id="rId42" Type="http://schemas.openxmlformats.org/officeDocument/2006/relationships/hyperlink" Target="https://trace.ncbi.nlm.nih.gov/Traces?run=SRR18459034" TargetMode="External"/><Relationship Id="rId41" Type="http://schemas.openxmlformats.org/officeDocument/2006/relationships/hyperlink" Target="https://trace.ncbi.nlm.nih.gov/Traces?run=SRR16661079" TargetMode="External"/><Relationship Id="rId44" Type="http://schemas.openxmlformats.org/officeDocument/2006/relationships/hyperlink" Target="https://trace.ncbi.nlm.nih.gov/Traces?run=SRR16661082" TargetMode="External"/><Relationship Id="rId43" Type="http://schemas.openxmlformats.org/officeDocument/2006/relationships/hyperlink" Target="https://trace.ncbi.nlm.nih.gov/Traces?run=SRR18067226" TargetMode="External"/><Relationship Id="rId46" Type="http://schemas.openxmlformats.org/officeDocument/2006/relationships/hyperlink" Target="https://trace.ncbi.nlm.nih.gov/Traces?run=SRR16661014" TargetMode="External"/><Relationship Id="rId45" Type="http://schemas.openxmlformats.org/officeDocument/2006/relationships/hyperlink" Target="https://trace.ncbi.nlm.nih.gov/Traces?run=SRR16661102" TargetMode="External"/><Relationship Id="rId1" Type="http://schemas.openxmlformats.org/officeDocument/2006/relationships/hyperlink" Target="https://trace.ncbi.nlm.nih.gov/Traces?run=SRR16661024" TargetMode="External"/><Relationship Id="rId2" Type="http://schemas.openxmlformats.org/officeDocument/2006/relationships/hyperlink" Target="https://trace.ncbi.nlm.nih.gov/Traces?run=SRR16661025" TargetMode="External"/><Relationship Id="rId3" Type="http://schemas.openxmlformats.org/officeDocument/2006/relationships/hyperlink" Target="https://trace.ncbi.nlm.nih.gov/Traces?run=SRR16661105" TargetMode="External"/><Relationship Id="rId4" Type="http://schemas.openxmlformats.org/officeDocument/2006/relationships/hyperlink" Target="https://trace.ncbi.nlm.nih.gov/Traces?run=SRR16661028" TargetMode="External"/><Relationship Id="rId9" Type="http://schemas.openxmlformats.org/officeDocument/2006/relationships/hyperlink" Target="https://trace.ncbi.nlm.nih.gov/Traces?run=SRR16661062" TargetMode="External"/><Relationship Id="rId48" Type="http://schemas.openxmlformats.org/officeDocument/2006/relationships/hyperlink" Target="https://trace.ncbi.nlm.nih.gov/Traces?run=SRR15841090" TargetMode="External"/><Relationship Id="rId47" Type="http://schemas.openxmlformats.org/officeDocument/2006/relationships/hyperlink" Target="https://trace.ncbi.nlm.nih.gov/Traces?run=SRR16661055" TargetMode="External"/><Relationship Id="rId49" Type="http://schemas.openxmlformats.org/officeDocument/2006/relationships/hyperlink" Target="https://trace.ncbi.nlm.nih.gov/Traces?run=SRR16661063" TargetMode="External"/><Relationship Id="rId5" Type="http://schemas.openxmlformats.org/officeDocument/2006/relationships/hyperlink" Target="https://trace.ncbi.nlm.nih.gov/Traces?run=SRR16248155" TargetMode="External"/><Relationship Id="rId6" Type="http://schemas.openxmlformats.org/officeDocument/2006/relationships/hyperlink" Target="https://trace.ncbi.nlm.nih.gov/Traces?run=SRR16661094" TargetMode="External"/><Relationship Id="rId7" Type="http://schemas.openxmlformats.org/officeDocument/2006/relationships/hyperlink" Target="https://trace.ncbi.nlm.nih.gov/Traces?run=SRR28975510" TargetMode="External"/><Relationship Id="rId8" Type="http://schemas.openxmlformats.org/officeDocument/2006/relationships/hyperlink" Target="https://trace.ncbi.nlm.nih.gov/Traces?run=SRR16661007" TargetMode="External"/><Relationship Id="rId31" Type="http://schemas.openxmlformats.org/officeDocument/2006/relationships/hyperlink" Target="https://trace.ncbi.nlm.nih.gov/Traces?run=SRR16661054" TargetMode="External"/><Relationship Id="rId30" Type="http://schemas.openxmlformats.org/officeDocument/2006/relationships/hyperlink" Target="https://trace.ncbi.nlm.nih.gov/Traces?run=SRR16661015" TargetMode="External"/><Relationship Id="rId33" Type="http://schemas.openxmlformats.org/officeDocument/2006/relationships/hyperlink" Target="https://trace.ncbi.nlm.nih.gov/Traces?run=SRR14632992" TargetMode="External"/><Relationship Id="rId32" Type="http://schemas.openxmlformats.org/officeDocument/2006/relationships/hyperlink" Target="https://trace.ncbi.nlm.nih.gov/Traces?run=SRR16661092" TargetMode="External"/><Relationship Id="rId35" Type="http://schemas.openxmlformats.org/officeDocument/2006/relationships/hyperlink" Target="https://trace.ncbi.nlm.nih.gov/Traces?run=SRR18591256" TargetMode="External"/><Relationship Id="rId34" Type="http://schemas.openxmlformats.org/officeDocument/2006/relationships/hyperlink" Target="https://trace.ncbi.nlm.nih.gov/Traces?run=SRR11398747" TargetMode="External"/><Relationship Id="rId37" Type="http://schemas.openxmlformats.org/officeDocument/2006/relationships/hyperlink" Target="https://trace.ncbi.nlm.nih.gov/Traces?run=SRR16661027" TargetMode="External"/><Relationship Id="rId36" Type="http://schemas.openxmlformats.org/officeDocument/2006/relationships/hyperlink" Target="https://trace.ncbi.nlm.nih.gov/Traces?run=SRR16661109" TargetMode="External"/><Relationship Id="rId39" Type="http://schemas.openxmlformats.org/officeDocument/2006/relationships/hyperlink" Target="https://trace.ncbi.nlm.nih.gov/Traces?run=SRR16661093" TargetMode="External"/><Relationship Id="rId38" Type="http://schemas.openxmlformats.org/officeDocument/2006/relationships/hyperlink" Target="https://trace.ncbi.nlm.nih.gov/Traces?run=SRR16661066" TargetMode="External"/><Relationship Id="rId62" Type="http://schemas.openxmlformats.org/officeDocument/2006/relationships/hyperlink" Target="https://trace.ncbi.nlm.nih.gov/Traces?run=SRR16661089" TargetMode="External"/><Relationship Id="rId61" Type="http://schemas.openxmlformats.org/officeDocument/2006/relationships/hyperlink" Target="https://trace.ncbi.nlm.nih.gov/Traces?run=SRR16661088" TargetMode="External"/><Relationship Id="rId20" Type="http://schemas.openxmlformats.org/officeDocument/2006/relationships/hyperlink" Target="https://trace.ncbi.nlm.nih.gov/Traces?run=SRR16661069" TargetMode="External"/><Relationship Id="rId64" Type="http://schemas.openxmlformats.org/officeDocument/2006/relationships/hyperlink" Target="https://trace.ncbi.nlm.nih.gov/Traces?run=SRR16661077" TargetMode="External"/><Relationship Id="rId63" Type="http://schemas.openxmlformats.org/officeDocument/2006/relationships/hyperlink" Target="https://trace.ncbi.nlm.nih.gov/Traces?run=SRR16248109" TargetMode="External"/><Relationship Id="rId22" Type="http://schemas.openxmlformats.org/officeDocument/2006/relationships/hyperlink" Target="https://trace.ncbi.nlm.nih.gov/Traces?run=SRR16661110" TargetMode="External"/><Relationship Id="rId66" Type="http://schemas.openxmlformats.org/officeDocument/2006/relationships/drawing" Target="../drawings/drawing6.xml"/><Relationship Id="rId21" Type="http://schemas.openxmlformats.org/officeDocument/2006/relationships/hyperlink" Target="https://trace.ncbi.nlm.nih.gov/Traces?run=SRR16661098" TargetMode="External"/><Relationship Id="rId65" Type="http://schemas.openxmlformats.org/officeDocument/2006/relationships/hyperlink" Target="https://trace.ncbi.nlm.nih.gov/Traces?run=SRR16661006" TargetMode="External"/><Relationship Id="rId24" Type="http://schemas.openxmlformats.org/officeDocument/2006/relationships/hyperlink" Target="https://trace.ncbi.nlm.nih.gov/Traces?run=SRR16661020" TargetMode="External"/><Relationship Id="rId23" Type="http://schemas.openxmlformats.org/officeDocument/2006/relationships/hyperlink" Target="https://trace.ncbi.nlm.nih.gov/Traces?run=SRR16661048" TargetMode="External"/><Relationship Id="rId60" Type="http://schemas.openxmlformats.org/officeDocument/2006/relationships/hyperlink" Target="https://trace.ncbi.nlm.nih.gov/Traces?run=SRR16661117" TargetMode="External"/><Relationship Id="rId26" Type="http://schemas.openxmlformats.org/officeDocument/2006/relationships/hyperlink" Target="https://trace.ncbi.nlm.nih.gov/Traces?run=SRR16661118" TargetMode="External"/><Relationship Id="rId25" Type="http://schemas.openxmlformats.org/officeDocument/2006/relationships/hyperlink" Target="https://trace.ncbi.nlm.nih.gov/Traces?run=SRR16661085" TargetMode="External"/><Relationship Id="rId28" Type="http://schemas.openxmlformats.org/officeDocument/2006/relationships/hyperlink" Target="https://trace.ncbi.nlm.nih.gov/Traces?run=SRR16996285" TargetMode="External"/><Relationship Id="rId27" Type="http://schemas.openxmlformats.org/officeDocument/2006/relationships/hyperlink" Target="https://trace.ncbi.nlm.nih.gov/Traces?run=SRR20997956" TargetMode="External"/><Relationship Id="rId29" Type="http://schemas.openxmlformats.org/officeDocument/2006/relationships/hyperlink" Target="https://trace.ncbi.nlm.nih.gov/Traces?run=SRR16661119" TargetMode="External"/><Relationship Id="rId51" Type="http://schemas.openxmlformats.org/officeDocument/2006/relationships/hyperlink" Target="https://trace.ncbi.nlm.nih.gov/Traces?run=SRR16661064" TargetMode="External"/><Relationship Id="rId50" Type="http://schemas.openxmlformats.org/officeDocument/2006/relationships/hyperlink" Target="https://trace.ncbi.nlm.nih.gov/Traces?run=SRR16661059" TargetMode="External"/><Relationship Id="rId53" Type="http://schemas.openxmlformats.org/officeDocument/2006/relationships/hyperlink" Target="https://trace.ncbi.nlm.nih.gov/Traces?run=SRR25725048" TargetMode="External"/><Relationship Id="rId52" Type="http://schemas.openxmlformats.org/officeDocument/2006/relationships/hyperlink" Target="https://trace.ncbi.nlm.nih.gov/Traces?run=SRR16661084" TargetMode="External"/><Relationship Id="rId11" Type="http://schemas.openxmlformats.org/officeDocument/2006/relationships/hyperlink" Target="https://trace.ncbi.nlm.nih.gov/Traces?run=SRR16661061" TargetMode="External"/><Relationship Id="rId55" Type="http://schemas.openxmlformats.org/officeDocument/2006/relationships/hyperlink" Target="https://trace.ncbi.nlm.nih.gov/Traces?run=SRR16661052" TargetMode="External"/><Relationship Id="rId10" Type="http://schemas.openxmlformats.org/officeDocument/2006/relationships/hyperlink" Target="https://trace.ncbi.nlm.nih.gov/Traces?run=SRR16661056" TargetMode="External"/><Relationship Id="rId54" Type="http://schemas.openxmlformats.org/officeDocument/2006/relationships/hyperlink" Target="https://trace.ncbi.nlm.nih.gov/Traces?run=SRR15841116" TargetMode="External"/><Relationship Id="rId13" Type="http://schemas.openxmlformats.org/officeDocument/2006/relationships/hyperlink" Target="https://trace.ncbi.nlm.nih.gov/Traces?run=SRR16248170" TargetMode="External"/><Relationship Id="rId57" Type="http://schemas.openxmlformats.org/officeDocument/2006/relationships/hyperlink" Target="https://trace.ncbi.nlm.nih.gov/Traces?run=SRR16661034" TargetMode="External"/><Relationship Id="rId12" Type="http://schemas.openxmlformats.org/officeDocument/2006/relationships/hyperlink" Target="https://trace.ncbi.nlm.nih.gov/Traces?run=SRR16661019" TargetMode="External"/><Relationship Id="rId56" Type="http://schemas.openxmlformats.org/officeDocument/2006/relationships/hyperlink" Target="https://trace.ncbi.nlm.nih.gov/Traces?run=SRR16661043" TargetMode="External"/><Relationship Id="rId15" Type="http://schemas.openxmlformats.org/officeDocument/2006/relationships/hyperlink" Target="https://trace.ncbi.nlm.nih.gov/Traces?run=SRR16661021" TargetMode="External"/><Relationship Id="rId59" Type="http://schemas.openxmlformats.org/officeDocument/2006/relationships/hyperlink" Target="https://trace.ncbi.nlm.nih.gov/Traces?run=SRR16661065" TargetMode="External"/><Relationship Id="rId14" Type="http://schemas.openxmlformats.org/officeDocument/2006/relationships/hyperlink" Target="https://trace.ncbi.nlm.nih.gov/Traces?run=SRR16661091" TargetMode="External"/><Relationship Id="rId58" Type="http://schemas.openxmlformats.org/officeDocument/2006/relationships/hyperlink" Target="https://trace.ncbi.nlm.nih.gov/Traces?run=SRR5820934" TargetMode="External"/><Relationship Id="rId17" Type="http://schemas.openxmlformats.org/officeDocument/2006/relationships/hyperlink" Target="https://trace.ncbi.nlm.nih.gov/Traces?run=SRR16661111" TargetMode="External"/><Relationship Id="rId16" Type="http://schemas.openxmlformats.org/officeDocument/2006/relationships/hyperlink" Target="https://trace.ncbi.nlm.nih.gov/Traces?run=SRR16996302" TargetMode="External"/><Relationship Id="rId19" Type="http://schemas.openxmlformats.org/officeDocument/2006/relationships/hyperlink" Target="https://trace.ncbi.nlm.nih.gov/Traces?run=SRR16661090" TargetMode="External"/><Relationship Id="rId18" Type="http://schemas.openxmlformats.org/officeDocument/2006/relationships/hyperlink" Target="https://trace.ncbi.nlm.nih.gov/Traces?run=SRR28383171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22.78"/>
    <col customWidth="1" min="2" max="2" width="24.78"/>
    <col customWidth="1" min="3" max="4" width="18.22"/>
    <col customWidth="1" min="5" max="5" width="23.44"/>
    <col customWidth="1" min="6" max="6" width="22.56"/>
    <col customWidth="1" min="7" max="7" width="19.67"/>
    <col customWidth="1" min="8" max="8" width="21.0"/>
    <col customWidth="1" min="9" max="10" width="23.56"/>
    <col customWidth="1" min="11" max="11" width="18.44"/>
    <col customWidth="1" min="12" max="13" width="18.22"/>
    <col customWidth="1" min="14" max="14" width="27.44"/>
    <col customWidth="1" min="15" max="15" width="31.44"/>
    <col customWidth="1" min="16" max="16" width="24.44"/>
    <col customWidth="1" min="17" max="17" width="46.67"/>
    <col customWidth="1" min="18" max="18" width="23.78"/>
    <col customWidth="1" min="19" max="19" width="49.44"/>
    <col customWidth="1" min="20" max="20" width="23.89"/>
    <col customWidth="1" min="21" max="21" width="24.22"/>
    <col customWidth="1" min="22" max="22" width="17.0"/>
    <col customWidth="1" min="23" max="23" width="18.33"/>
    <col customWidth="1" min="24" max="24" width="20.22"/>
    <col customWidth="1" min="25" max="25" width="20.56"/>
    <col customWidth="1" min="26" max="26" width="19.44"/>
    <col customWidth="1" min="27" max="27" width="21.33"/>
    <col customWidth="1" min="28" max="28" width="10.56"/>
    <col customWidth="1" min="29" max="29" width="55.11"/>
    <col customWidth="1" min="30" max="31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5" t="s">
        <v>10</v>
      </c>
      <c r="L1" s="5" t="s">
        <v>11</v>
      </c>
      <c r="M1" s="5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</row>
    <row r="2" ht="15.75" customHeight="1">
      <c r="A2" s="9" t="s">
        <v>27</v>
      </c>
      <c r="B2" s="10" t="s">
        <v>28</v>
      </c>
      <c r="C2" s="10" t="s">
        <v>29</v>
      </c>
      <c r="D2" s="10" t="s">
        <v>29</v>
      </c>
      <c r="E2" s="11">
        <v>53.63457341840805</v>
      </c>
      <c r="F2" s="12">
        <v>21.32540241017584</v>
      </c>
      <c r="G2" s="13">
        <v>26.1117908204301</v>
      </c>
      <c r="H2" s="14">
        <v>31.8224970314497</v>
      </c>
      <c r="I2" s="13">
        <f t="shared" ref="I2:J2" si="1">(100-E2)/100*783.509981/G2</f>
        <v>13.91240254</v>
      </c>
      <c r="J2" s="14">
        <f t="shared" si="1"/>
        <v>19.37067742</v>
      </c>
      <c r="K2" s="15">
        <v>40.29535425</v>
      </c>
      <c r="L2" s="16" t="s">
        <v>30</v>
      </c>
      <c r="M2" s="17" t="s">
        <v>27</v>
      </c>
      <c r="N2" s="18" t="s">
        <v>31</v>
      </c>
      <c r="O2" s="18" t="s">
        <v>32</v>
      </c>
      <c r="P2" s="18" t="s">
        <v>33</v>
      </c>
      <c r="Q2" s="18" t="s">
        <v>34</v>
      </c>
      <c r="R2" s="18" t="s">
        <v>35</v>
      </c>
      <c r="S2" s="18" t="s">
        <v>36</v>
      </c>
      <c r="T2" s="18" t="s">
        <v>37</v>
      </c>
      <c r="U2" s="18">
        <v>12477.97</v>
      </c>
      <c r="V2" s="18">
        <v>1.07454278E8</v>
      </c>
      <c r="W2" s="18">
        <v>3.22362834E10</v>
      </c>
      <c r="X2" s="18" t="s">
        <v>38</v>
      </c>
      <c r="Y2" s="18" t="s">
        <v>39</v>
      </c>
      <c r="Z2" s="18" t="s">
        <v>40</v>
      </c>
      <c r="AA2" s="18" t="s">
        <v>41</v>
      </c>
    </row>
    <row r="3" ht="15.75" customHeight="1">
      <c r="A3" s="9" t="s">
        <v>42</v>
      </c>
      <c r="B3" s="10" t="s">
        <v>43</v>
      </c>
      <c r="C3" s="10" t="s">
        <v>29</v>
      </c>
      <c r="D3" s="10" t="s">
        <v>29</v>
      </c>
      <c r="E3" s="11">
        <v>53.94223012457068</v>
      </c>
      <c r="F3" s="12">
        <v>30.098310094860537</v>
      </c>
      <c r="G3" s="13">
        <v>27.3826397785428</v>
      </c>
      <c r="H3" s="14">
        <v>32.5696928507277</v>
      </c>
      <c r="I3" s="13">
        <f t="shared" ref="I3:J3" si="2">(100-E3)/100*783.509981/G3</f>
        <v>13.17868646</v>
      </c>
      <c r="J3" s="14">
        <f t="shared" si="2"/>
        <v>16.81583919</v>
      </c>
      <c r="K3" s="15">
        <v>45.080552625</v>
      </c>
      <c r="L3" s="16" t="s">
        <v>30</v>
      </c>
      <c r="M3" s="19" t="s">
        <v>44</v>
      </c>
      <c r="N3" s="18" t="s">
        <v>45</v>
      </c>
      <c r="O3" s="18" t="s">
        <v>46</v>
      </c>
      <c r="P3" s="18" t="s">
        <v>33</v>
      </c>
      <c r="Q3" s="18" t="s">
        <v>47</v>
      </c>
      <c r="R3" s="18" t="s">
        <v>48</v>
      </c>
      <c r="S3" s="18" t="s">
        <v>49</v>
      </c>
      <c r="T3" s="18" t="s">
        <v>50</v>
      </c>
      <c r="U3" s="18">
        <v>11225.38</v>
      </c>
      <c r="V3" s="18">
        <v>1.20214807E8</v>
      </c>
      <c r="W3" s="18">
        <v>3.60644421E10</v>
      </c>
      <c r="X3" s="18" t="s">
        <v>51</v>
      </c>
      <c r="Y3" s="18" t="s">
        <v>39</v>
      </c>
      <c r="Z3" s="18" t="s">
        <v>40</v>
      </c>
      <c r="AA3" s="18" t="s">
        <v>52</v>
      </c>
    </row>
    <row r="4" ht="15.75" customHeight="1">
      <c r="A4" s="9" t="s">
        <v>53</v>
      </c>
      <c r="B4" s="10" t="s">
        <v>54</v>
      </c>
      <c r="C4" s="10" t="s">
        <v>29</v>
      </c>
      <c r="D4" s="10" t="s">
        <v>29</v>
      </c>
      <c r="E4" s="11">
        <v>54.14693128204068</v>
      </c>
      <c r="F4" s="12">
        <v>30.704335114905106</v>
      </c>
      <c r="G4" s="13">
        <v>25.9490249381836</v>
      </c>
      <c r="H4" s="14">
        <v>31.2967333528921</v>
      </c>
      <c r="I4" s="13">
        <f t="shared" ref="I4:J4" si="3">(100-E4)/100*783.509981/G4</f>
        <v>13.84496608</v>
      </c>
      <c r="J4" s="14">
        <f t="shared" si="3"/>
        <v>17.34808693</v>
      </c>
      <c r="K4" s="15">
        <v>40.643444625</v>
      </c>
      <c r="L4" s="16" t="s">
        <v>30</v>
      </c>
      <c r="M4" s="20" t="s">
        <v>55</v>
      </c>
      <c r="N4" s="18" t="s">
        <v>56</v>
      </c>
      <c r="O4" s="18" t="s">
        <v>46</v>
      </c>
      <c r="P4" s="18" t="s">
        <v>33</v>
      </c>
      <c r="Q4" s="18" t="s">
        <v>47</v>
      </c>
      <c r="R4" s="18" t="s">
        <v>48</v>
      </c>
      <c r="S4" s="18" t="s">
        <v>49</v>
      </c>
      <c r="T4" s="18" t="s">
        <v>57</v>
      </c>
      <c r="U4" s="18">
        <v>10508.69</v>
      </c>
      <c r="V4" s="18">
        <v>1.08382519E8</v>
      </c>
      <c r="W4" s="18">
        <v>3.25147557E10</v>
      </c>
      <c r="X4" s="18" t="s">
        <v>58</v>
      </c>
      <c r="Y4" s="18" t="s">
        <v>39</v>
      </c>
      <c r="Z4" s="18" t="s">
        <v>40</v>
      </c>
      <c r="AA4" s="18" t="s">
        <v>52</v>
      </c>
    </row>
    <row r="5" ht="15.75" customHeight="1">
      <c r="A5" s="9" t="s">
        <v>59</v>
      </c>
      <c r="B5" s="10" t="s">
        <v>60</v>
      </c>
      <c r="C5" s="10" t="s">
        <v>29</v>
      </c>
      <c r="D5" s="10" t="s">
        <v>29</v>
      </c>
      <c r="E5" s="11">
        <v>54.714979821042</v>
      </c>
      <c r="F5" s="12">
        <v>23.334611223901476</v>
      </c>
      <c r="G5" s="13">
        <v>25.1378430865864</v>
      </c>
      <c r="H5" s="14">
        <v>30.6770666767541</v>
      </c>
      <c r="I5" s="13">
        <f t="shared" ref="I5:J5" si="4">(100-E5)/100*783.509981/G5</f>
        <v>14.11468167</v>
      </c>
      <c r="J5" s="14">
        <f t="shared" si="4"/>
        <v>19.58078259</v>
      </c>
      <c r="K5" s="15">
        <v>43.078941</v>
      </c>
      <c r="L5" s="16" t="s">
        <v>30</v>
      </c>
      <c r="M5" s="19" t="s">
        <v>61</v>
      </c>
      <c r="N5" s="18" t="s">
        <v>62</v>
      </c>
      <c r="O5" s="18" t="s">
        <v>32</v>
      </c>
      <c r="P5" s="18" t="s">
        <v>33</v>
      </c>
      <c r="Q5" s="18" t="s">
        <v>34</v>
      </c>
      <c r="R5" s="18" t="s">
        <v>35</v>
      </c>
      <c r="S5" s="18" t="s">
        <v>36</v>
      </c>
      <c r="T5" s="18" t="s">
        <v>63</v>
      </c>
      <c r="U5" s="18">
        <v>10942.0</v>
      </c>
      <c r="V5" s="18">
        <v>1.14877176E8</v>
      </c>
      <c r="W5" s="18">
        <v>3.44631528E10</v>
      </c>
      <c r="X5" s="18" t="s">
        <v>64</v>
      </c>
      <c r="Y5" s="18" t="s">
        <v>39</v>
      </c>
      <c r="Z5" s="18" t="s">
        <v>40</v>
      </c>
      <c r="AA5" s="18" t="s">
        <v>41</v>
      </c>
    </row>
    <row r="6" ht="15.75" customHeight="1">
      <c r="A6" s="9" t="s">
        <v>65</v>
      </c>
      <c r="B6" s="10" t="s">
        <v>66</v>
      </c>
      <c r="C6" s="10" t="s">
        <v>29</v>
      </c>
      <c r="D6" s="10" t="s">
        <v>29</v>
      </c>
      <c r="E6" s="11">
        <v>51.25726203097341</v>
      </c>
      <c r="F6" s="12">
        <v>28.77355854756307</v>
      </c>
      <c r="G6" s="13">
        <v>50.5520737829166</v>
      </c>
      <c r="H6" s="14">
        <v>63.4544362214789</v>
      </c>
      <c r="I6" s="13">
        <f t="shared" ref="I6:J6" si="5">(100-E6)/100*783.509981/G6</f>
        <v>7.554669639</v>
      </c>
      <c r="J6" s="14">
        <f t="shared" si="5"/>
        <v>8.794755909</v>
      </c>
      <c r="K6" s="15">
        <v>82.99818425</v>
      </c>
      <c r="L6" s="16" t="s">
        <v>30</v>
      </c>
      <c r="M6" s="21" t="s">
        <v>67</v>
      </c>
      <c r="N6" s="18" t="s">
        <v>68</v>
      </c>
      <c r="O6" s="18" t="s">
        <v>69</v>
      </c>
      <c r="P6" s="18" t="s">
        <v>70</v>
      </c>
      <c r="Q6" s="18" t="s">
        <v>71</v>
      </c>
      <c r="R6" s="18" t="s">
        <v>72</v>
      </c>
      <c r="S6" s="18" t="s">
        <v>73</v>
      </c>
      <c r="T6" s="18" t="s">
        <v>74</v>
      </c>
      <c r="U6" s="18">
        <v>40867.64</v>
      </c>
      <c r="V6" s="18">
        <v>3.55639567E8</v>
      </c>
      <c r="W6" s="18">
        <v>6.63985474E10</v>
      </c>
      <c r="X6" s="18" t="s">
        <v>75</v>
      </c>
      <c r="Y6" s="18" t="s">
        <v>39</v>
      </c>
      <c r="Z6" s="18" t="s">
        <v>40</v>
      </c>
      <c r="AA6" s="18" t="s">
        <v>41</v>
      </c>
    </row>
    <row r="7" ht="15.75" customHeight="1">
      <c r="A7" s="9" t="s">
        <v>76</v>
      </c>
      <c r="B7" s="10" t="s">
        <v>77</v>
      </c>
      <c r="C7" s="10" t="s">
        <v>29</v>
      </c>
      <c r="D7" s="10" t="s">
        <v>29</v>
      </c>
      <c r="E7" s="11">
        <v>56.20292627771899</v>
      </c>
      <c r="F7" s="12">
        <v>22.140855127849193</v>
      </c>
      <c r="G7" s="13">
        <v>28.2082407929201</v>
      </c>
      <c r="H7" s="14">
        <v>35.3024491414456</v>
      </c>
      <c r="I7" s="13">
        <f t="shared" ref="I7:J7" si="6">(100-E7)/100*783.509981/G7</f>
        <v>12.16504235</v>
      </c>
      <c r="J7" s="14">
        <f t="shared" si="6"/>
        <v>17.28022237</v>
      </c>
      <c r="K7" s="15">
        <v>44.001037875</v>
      </c>
      <c r="L7" s="16" t="s">
        <v>30</v>
      </c>
      <c r="M7" s="21" t="s">
        <v>78</v>
      </c>
      <c r="N7" s="18" t="s">
        <v>79</v>
      </c>
      <c r="O7" s="18" t="s">
        <v>32</v>
      </c>
      <c r="P7" s="18" t="s">
        <v>33</v>
      </c>
      <c r="Q7" s="18" t="s">
        <v>34</v>
      </c>
      <c r="R7" s="18" t="s">
        <v>35</v>
      </c>
      <c r="S7" s="18" t="s">
        <v>36</v>
      </c>
      <c r="T7" s="18" t="s">
        <v>80</v>
      </c>
      <c r="U7" s="18">
        <v>14417.26</v>
      </c>
      <c r="V7" s="18">
        <v>1.17336101E8</v>
      </c>
      <c r="W7" s="18">
        <v>3.52008303E10</v>
      </c>
      <c r="X7" s="18" t="s">
        <v>81</v>
      </c>
      <c r="Y7" s="18" t="s">
        <v>39</v>
      </c>
      <c r="Z7" s="18" t="s">
        <v>40</v>
      </c>
      <c r="AA7" s="18" t="s">
        <v>41</v>
      </c>
    </row>
    <row r="8" ht="15.75" customHeight="1">
      <c r="A8" s="9" t="s">
        <v>82</v>
      </c>
      <c r="B8" s="10" t="s">
        <v>83</v>
      </c>
      <c r="C8" s="10" t="s">
        <v>29</v>
      </c>
      <c r="D8" s="10" t="s">
        <v>84</v>
      </c>
      <c r="E8" s="11">
        <v>53.20671007508199</v>
      </c>
      <c r="F8" s="12">
        <v>51.66434508185754</v>
      </c>
      <c r="G8" s="13">
        <v>26.048888569171</v>
      </c>
      <c r="H8" s="14">
        <v>26.9578021990157</v>
      </c>
      <c r="I8" s="13">
        <f t="shared" ref="I8:J8" si="7">(100-E8)/100*783.509981/G8</f>
        <v>14.07469252</v>
      </c>
      <c r="J8" s="14">
        <f t="shared" si="7"/>
        <v>14.04842568</v>
      </c>
      <c r="K8" s="15">
        <v>40.48294575</v>
      </c>
      <c r="L8" s="16" t="s">
        <v>30</v>
      </c>
      <c r="M8" s="19" t="s">
        <v>85</v>
      </c>
      <c r="N8" s="18" t="s">
        <v>86</v>
      </c>
      <c r="O8" s="18" t="s">
        <v>46</v>
      </c>
      <c r="P8" s="18" t="s">
        <v>33</v>
      </c>
      <c r="Q8" s="18" t="s">
        <v>47</v>
      </c>
      <c r="R8" s="18" t="s">
        <v>48</v>
      </c>
      <c r="S8" s="18" t="s">
        <v>49</v>
      </c>
      <c r="T8" s="18" t="s">
        <v>87</v>
      </c>
      <c r="U8" s="18">
        <v>10242.23</v>
      </c>
      <c r="V8" s="18">
        <v>1.07954522E8</v>
      </c>
      <c r="W8" s="18">
        <v>3.23863566E10</v>
      </c>
      <c r="X8" s="18" t="s">
        <v>88</v>
      </c>
      <c r="Y8" s="18" t="s">
        <v>39</v>
      </c>
      <c r="Z8" s="18" t="s">
        <v>40</v>
      </c>
      <c r="AA8" s="18" t="s">
        <v>52</v>
      </c>
    </row>
    <row r="9" ht="15.75" customHeight="1">
      <c r="A9" s="9" t="s">
        <v>89</v>
      </c>
      <c r="B9" s="10" t="s">
        <v>90</v>
      </c>
      <c r="C9" s="10" t="s">
        <v>29</v>
      </c>
      <c r="D9" s="10" t="s">
        <v>84</v>
      </c>
      <c r="E9" s="11">
        <v>53.785288026854126</v>
      </c>
      <c r="F9" s="12">
        <v>52.35751841503553</v>
      </c>
      <c r="G9" s="13">
        <v>24.1053482436127</v>
      </c>
      <c r="H9" s="14">
        <v>24.8160479780833</v>
      </c>
      <c r="I9" s="13">
        <f t="shared" ref="I9:J9" si="8">(100-E9)/100*783.509981/G9</f>
        <v>15.02143331</v>
      </c>
      <c r="J9" s="14">
        <f t="shared" si="8"/>
        <v>15.04202437</v>
      </c>
      <c r="K9" s="15">
        <v>35.9533755</v>
      </c>
      <c r="L9" s="16" t="s">
        <v>30</v>
      </c>
      <c r="M9" s="21" t="s">
        <v>91</v>
      </c>
      <c r="N9" s="18" t="s">
        <v>92</v>
      </c>
      <c r="O9" s="18" t="s">
        <v>46</v>
      </c>
      <c r="P9" s="18" t="s">
        <v>33</v>
      </c>
      <c r="Q9" s="18" t="s">
        <v>47</v>
      </c>
      <c r="R9" s="18" t="s">
        <v>48</v>
      </c>
      <c r="S9" s="18" t="s">
        <v>49</v>
      </c>
      <c r="T9" s="18" t="s">
        <v>93</v>
      </c>
      <c r="U9" s="18">
        <v>9086.73</v>
      </c>
      <c r="V9" s="18">
        <v>9.5875668E7</v>
      </c>
      <c r="W9" s="18">
        <v>2.87627004E10</v>
      </c>
      <c r="X9" s="18" t="s">
        <v>94</v>
      </c>
      <c r="Y9" s="18" t="s">
        <v>39</v>
      </c>
      <c r="Z9" s="18" t="s">
        <v>40</v>
      </c>
      <c r="AA9" s="18" t="s">
        <v>52</v>
      </c>
    </row>
    <row r="10" ht="15.75" customHeight="1">
      <c r="A10" s="9" t="s">
        <v>95</v>
      </c>
      <c r="B10" s="10" t="s">
        <v>96</v>
      </c>
      <c r="C10" s="10" t="s">
        <v>29</v>
      </c>
      <c r="D10" s="10" t="s">
        <v>84</v>
      </c>
      <c r="E10" s="11">
        <v>53.2322334257539</v>
      </c>
      <c r="F10" s="12">
        <v>51.89767360846943</v>
      </c>
      <c r="G10" s="13">
        <v>26.6159921701651</v>
      </c>
      <c r="H10" s="14">
        <v>27.8751413074888</v>
      </c>
      <c r="I10" s="13">
        <f t="shared" ref="I10:J10" si="9">(100-E10)/100*783.509981/G10</f>
        <v>13.76729136</v>
      </c>
      <c r="J10" s="14">
        <f t="shared" si="9"/>
        <v>13.52052441</v>
      </c>
      <c r="K10" s="15">
        <v>41.388038625</v>
      </c>
      <c r="L10" s="16" t="s">
        <v>30</v>
      </c>
      <c r="M10" s="21" t="s">
        <v>97</v>
      </c>
      <c r="N10" s="18" t="s">
        <v>98</v>
      </c>
      <c r="O10" s="18" t="s">
        <v>46</v>
      </c>
      <c r="P10" s="18" t="s">
        <v>33</v>
      </c>
      <c r="Q10" s="18" t="s">
        <v>47</v>
      </c>
      <c r="R10" s="18" t="s">
        <v>48</v>
      </c>
      <c r="S10" s="18" t="s">
        <v>49</v>
      </c>
      <c r="T10" s="18" t="s">
        <v>99</v>
      </c>
      <c r="U10" s="18">
        <v>10586.26</v>
      </c>
      <c r="V10" s="18">
        <v>1.10368103E8</v>
      </c>
      <c r="W10" s="18">
        <v>3.31104309E10</v>
      </c>
      <c r="X10" s="18" t="s">
        <v>100</v>
      </c>
      <c r="Y10" s="18" t="s">
        <v>39</v>
      </c>
      <c r="Z10" s="18" t="s">
        <v>40</v>
      </c>
      <c r="AA10" s="18" t="s">
        <v>52</v>
      </c>
    </row>
    <row r="11" ht="15.75" customHeight="1">
      <c r="A11" s="9" t="s">
        <v>101</v>
      </c>
      <c r="B11" s="10" t="s">
        <v>102</v>
      </c>
      <c r="C11" s="10" t="s">
        <v>29</v>
      </c>
      <c r="D11" s="10" t="s">
        <v>84</v>
      </c>
      <c r="E11" s="11">
        <v>53.859530348471715</v>
      </c>
      <c r="F11" s="12">
        <v>52.573145258370715</v>
      </c>
      <c r="G11" s="13">
        <v>24.7645340365409</v>
      </c>
      <c r="H11" s="14">
        <v>25.9160469509323</v>
      </c>
      <c r="I11" s="13">
        <f t="shared" ref="I11:J11" si="10">(100-E11)/100*783.509981/G11</f>
        <v>14.59810164</v>
      </c>
      <c r="J11" s="14">
        <f t="shared" si="10"/>
        <v>14.33838044</v>
      </c>
      <c r="K11" s="15">
        <v>38.072836875</v>
      </c>
      <c r="L11" s="16" t="s">
        <v>30</v>
      </c>
      <c r="M11" s="21" t="s">
        <v>103</v>
      </c>
      <c r="N11" s="18" t="s">
        <v>104</v>
      </c>
      <c r="O11" s="18" t="s">
        <v>46</v>
      </c>
      <c r="P11" s="18" t="s">
        <v>33</v>
      </c>
      <c r="Q11" s="18" t="s">
        <v>47</v>
      </c>
      <c r="R11" s="18" t="s">
        <v>48</v>
      </c>
      <c r="S11" s="18" t="s">
        <v>49</v>
      </c>
      <c r="T11" s="18" t="s">
        <v>105</v>
      </c>
      <c r="U11" s="18">
        <v>9536.08</v>
      </c>
      <c r="V11" s="18">
        <v>1.01527565E8</v>
      </c>
      <c r="W11" s="18">
        <v>3.04582695E10</v>
      </c>
      <c r="X11" s="18" t="s">
        <v>106</v>
      </c>
      <c r="Y11" s="18" t="s">
        <v>39</v>
      </c>
      <c r="Z11" s="18" t="s">
        <v>40</v>
      </c>
      <c r="AA11" s="18" t="s">
        <v>52</v>
      </c>
    </row>
    <row r="12" ht="15.75" customHeight="1">
      <c r="A12" s="9" t="s">
        <v>107</v>
      </c>
      <c r="B12" s="10" t="s">
        <v>108</v>
      </c>
      <c r="C12" s="10" t="s">
        <v>29</v>
      </c>
      <c r="D12" s="22" t="s">
        <v>84</v>
      </c>
      <c r="E12" s="11">
        <v>54.41031465303057</v>
      </c>
      <c r="F12" s="12">
        <v>52.93200910616019</v>
      </c>
      <c r="G12" s="13">
        <v>24.0173283469299</v>
      </c>
      <c r="H12" s="14">
        <v>25.0859769299337</v>
      </c>
      <c r="I12" s="13">
        <f t="shared" ref="I12:J12" si="11">(100-E12)/100*783.509981/G12</f>
        <v>14.87258407</v>
      </c>
      <c r="J12" s="14">
        <f t="shared" si="11"/>
        <v>14.70073928</v>
      </c>
      <c r="K12" s="15">
        <v>38.16884625</v>
      </c>
      <c r="L12" s="16" t="s">
        <v>30</v>
      </c>
      <c r="M12" s="21" t="s">
        <v>109</v>
      </c>
      <c r="N12" s="18" t="s">
        <v>110</v>
      </c>
      <c r="O12" s="18" t="s">
        <v>46</v>
      </c>
      <c r="P12" s="18" t="s">
        <v>33</v>
      </c>
      <c r="Q12" s="18" t="s">
        <v>47</v>
      </c>
      <c r="R12" s="18" t="s">
        <v>48</v>
      </c>
      <c r="S12" s="18" t="s">
        <v>49</v>
      </c>
      <c r="T12" s="18" t="s">
        <v>111</v>
      </c>
      <c r="U12" s="18">
        <v>9361.74</v>
      </c>
      <c r="V12" s="18">
        <v>1.0178359E8</v>
      </c>
      <c r="W12" s="18">
        <v>3.0535077E10</v>
      </c>
      <c r="X12" s="18" t="s">
        <v>112</v>
      </c>
      <c r="Y12" s="18" t="s">
        <v>39</v>
      </c>
      <c r="Z12" s="18" t="s">
        <v>40</v>
      </c>
      <c r="AA12" s="18" t="s">
        <v>52</v>
      </c>
    </row>
    <row r="13" ht="15.75" customHeight="1">
      <c r="A13" s="9" t="s">
        <v>113</v>
      </c>
      <c r="B13" s="10" t="s">
        <v>114</v>
      </c>
      <c r="C13" s="10" t="s">
        <v>29</v>
      </c>
      <c r="D13" s="10" t="s">
        <v>84</v>
      </c>
      <c r="E13" s="11">
        <v>50.84915261596393</v>
      </c>
      <c r="F13" s="12">
        <v>49.44726933858732</v>
      </c>
      <c r="G13" s="13">
        <v>33.4909694231057</v>
      </c>
      <c r="H13" s="14">
        <v>34.5564589978023</v>
      </c>
      <c r="I13" s="13">
        <f t="shared" ref="I13:J13" si="12">(100-E13)/100*783.509981/G13</f>
        <v>11.49867566</v>
      </c>
      <c r="J13" s="14">
        <f t="shared" si="12"/>
        <v>11.46198719</v>
      </c>
      <c r="K13" s="15">
        <v>59.00471025</v>
      </c>
      <c r="L13" s="16" t="s">
        <v>30</v>
      </c>
      <c r="M13" s="21" t="s">
        <v>115</v>
      </c>
      <c r="N13" s="18" t="s">
        <v>116</v>
      </c>
      <c r="O13" s="18" t="s">
        <v>117</v>
      </c>
      <c r="P13" s="18" t="s">
        <v>33</v>
      </c>
      <c r="Q13" s="18" t="s">
        <v>118</v>
      </c>
      <c r="R13" s="18" t="s">
        <v>119</v>
      </c>
      <c r="S13" s="18" t="s">
        <v>120</v>
      </c>
      <c r="T13" s="18" t="s">
        <v>121</v>
      </c>
      <c r="U13" s="18">
        <v>14292.82</v>
      </c>
      <c r="V13" s="18">
        <v>1.57345894E8</v>
      </c>
      <c r="W13" s="18">
        <v>4.72037682E10</v>
      </c>
      <c r="X13" s="18" t="s">
        <v>122</v>
      </c>
      <c r="Y13" s="18" t="s">
        <v>39</v>
      </c>
      <c r="Z13" s="18" t="s">
        <v>40</v>
      </c>
      <c r="AA13" s="18" t="s">
        <v>123</v>
      </c>
    </row>
    <row r="14" ht="15.75" customHeight="1">
      <c r="A14" s="9" t="s">
        <v>124</v>
      </c>
      <c r="B14" s="10" t="s">
        <v>125</v>
      </c>
      <c r="C14" s="10" t="s">
        <v>29</v>
      </c>
      <c r="D14" s="10" t="s">
        <v>84</v>
      </c>
      <c r="E14" s="11">
        <v>53.49596229329975</v>
      </c>
      <c r="F14" s="12">
        <v>52.22484501642807</v>
      </c>
      <c r="G14" s="13">
        <v>25.9012827339969</v>
      </c>
      <c r="H14" s="14">
        <v>26.9306188419116</v>
      </c>
      <c r="I14" s="13">
        <f t="shared" ref="I14:J14" si="13">(100-E14)/100*783.509981/G14</f>
        <v>14.06740279</v>
      </c>
      <c r="J14" s="14">
        <f t="shared" si="13"/>
        <v>13.89953606</v>
      </c>
      <c r="K14" s="15">
        <v>39.911257125</v>
      </c>
      <c r="L14" s="16" t="s">
        <v>30</v>
      </c>
      <c r="M14" s="21" t="s">
        <v>126</v>
      </c>
      <c r="N14" s="18" t="s">
        <v>127</v>
      </c>
      <c r="O14" s="18" t="s">
        <v>46</v>
      </c>
      <c r="P14" s="18" t="s">
        <v>33</v>
      </c>
      <c r="Q14" s="18" t="s">
        <v>47</v>
      </c>
      <c r="R14" s="18" t="s">
        <v>48</v>
      </c>
      <c r="S14" s="18" t="s">
        <v>49</v>
      </c>
      <c r="T14" s="18" t="s">
        <v>128</v>
      </c>
      <c r="U14" s="18">
        <v>9954.36</v>
      </c>
      <c r="V14" s="18">
        <v>1.06430019E8</v>
      </c>
      <c r="W14" s="18">
        <v>3.19290057E10</v>
      </c>
      <c r="X14" s="18" t="s">
        <v>129</v>
      </c>
      <c r="Y14" s="18" t="s">
        <v>39</v>
      </c>
      <c r="Z14" s="18" t="s">
        <v>40</v>
      </c>
      <c r="AA14" s="18" t="s">
        <v>52</v>
      </c>
    </row>
    <row r="15" ht="15.75" customHeight="1">
      <c r="A15" s="9" t="s">
        <v>130</v>
      </c>
      <c r="B15" s="10" t="s">
        <v>131</v>
      </c>
      <c r="C15" s="10" t="s">
        <v>29</v>
      </c>
      <c r="D15" s="10" t="s">
        <v>84</v>
      </c>
      <c r="E15" s="11">
        <v>53.35607613657189</v>
      </c>
      <c r="F15" s="12">
        <v>52.11166618148955</v>
      </c>
      <c r="G15" s="13">
        <v>26.6557735916128</v>
      </c>
      <c r="H15" s="14">
        <v>27.2489969126549</v>
      </c>
      <c r="I15" s="13">
        <f t="shared" ref="I15:J15" si="14">(100-E15)/100*783.509981/G15</f>
        <v>13.710343</v>
      </c>
      <c r="J15" s="14">
        <f t="shared" si="14"/>
        <v>13.7696766</v>
      </c>
      <c r="K15" s="15">
        <v>40.601926125</v>
      </c>
      <c r="L15" s="16" t="s">
        <v>30</v>
      </c>
      <c r="M15" s="21" t="s">
        <v>132</v>
      </c>
      <c r="N15" s="18" t="s">
        <v>133</v>
      </c>
      <c r="O15" s="18" t="s">
        <v>46</v>
      </c>
      <c r="P15" s="18" t="s">
        <v>33</v>
      </c>
      <c r="Q15" s="18" t="s">
        <v>47</v>
      </c>
      <c r="R15" s="18" t="s">
        <v>48</v>
      </c>
      <c r="S15" s="18" t="s">
        <v>49</v>
      </c>
      <c r="T15" s="18" t="s">
        <v>134</v>
      </c>
      <c r="U15" s="18">
        <v>10384.93</v>
      </c>
      <c r="V15" s="18">
        <v>1.08271803E8</v>
      </c>
      <c r="W15" s="18">
        <v>3.24815409E10</v>
      </c>
      <c r="X15" s="18" t="s">
        <v>135</v>
      </c>
      <c r="Y15" s="18" t="s">
        <v>39</v>
      </c>
      <c r="Z15" s="18" t="s">
        <v>40</v>
      </c>
      <c r="AA15" s="18" t="s">
        <v>52</v>
      </c>
    </row>
    <row r="16" ht="15.75" customHeight="1">
      <c r="A16" s="9" t="s">
        <v>136</v>
      </c>
      <c r="B16" s="10" t="s">
        <v>137</v>
      </c>
      <c r="C16" s="10" t="s">
        <v>29</v>
      </c>
      <c r="D16" s="10" t="s">
        <v>84</v>
      </c>
      <c r="E16" s="11">
        <v>52.6480117679573</v>
      </c>
      <c r="F16" s="12">
        <v>51.32026229559357</v>
      </c>
      <c r="G16" s="13">
        <v>27.3328897383993</v>
      </c>
      <c r="H16" s="14">
        <v>28.5224344341041</v>
      </c>
      <c r="I16" s="13">
        <f t="shared" ref="I16:J16" si="15">(100-E16)/100*783.509981/G16</f>
        <v>13.57366739</v>
      </c>
      <c r="J16" s="14">
        <f t="shared" si="15"/>
        <v>13.37230188</v>
      </c>
      <c r="K16" s="15">
        <v>41.834284875</v>
      </c>
      <c r="L16" s="16" t="s">
        <v>30</v>
      </c>
      <c r="M16" s="23" t="s">
        <v>138</v>
      </c>
      <c r="N16" s="18" t="s">
        <v>139</v>
      </c>
      <c r="O16" s="18" t="s">
        <v>46</v>
      </c>
      <c r="P16" s="18" t="s">
        <v>33</v>
      </c>
      <c r="Q16" s="18" t="s">
        <v>47</v>
      </c>
      <c r="R16" s="18" t="s">
        <v>48</v>
      </c>
      <c r="S16" s="18" t="s">
        <v>49</v>
      </c>
      <c r="T16" s="18" t="s">
        <v>140</v>
      </c>
      <c r="U16" s="18">
        <v>10833.57</v>
      </c>
      <c r="V16" s="18">
        <v>1.11558093E8</v>
      </c>
      <c r="W16" s="18">
        <v>3.34674279E10</v>
      </c>
      <c r="X16" s="18" t="s">
        <v>141</v>
      </c>
      <c r="Y16" s="18" t="s">
        <v>39</v>
      </c>
      <c r="Z16" s="18" t="s">
        <v>40</v>
      </c>
      <c r="AA16" s="18" t="s">
        <v>52</v>
      </c>
    </row>
    <row r="17" ht="15.75" customHeight="1">
      <c r="A17" s="9" t="s">
        <v>142</v>
      </c>
      <c r="B17" s="24" t="s">
        <v>143</v>
      </c>
      <c r="C17" s="24" t="s">
        <v>29</v>
      </c>
      <c r="D17" s="24" t="s">
        <v>84</v>
      </c>
      <c r="E17" s="11">
        <v>66.34876946130441</v>
      </c>
      <c r="F17" s="12">
        <v>65.42939625160236</v>
      </c>
      <c r="G17" s="13">
        <v>11.9044657502913</v>
      </c>
      <c r="H17" s="14">
        <v>12.2272794454606</v>
      </c>
      <c r="I17" s="13">
        <f t="shared" ref="I17:J17" si="16">(100-E17)/100*783.509981/G17</f>
        <v>22.14805398</v>
      </c>
      <c r="J17" s="14">
        <f t="shared" si="16"/>
        <v>22.15244463</v>
      </c>
      <c r="K17" s="15">
        <v>16.7898889425</v>
      </c>
      <c r="L17" s="16" t="s">
        <v>30</v>
      </c>
      <c r="M17" s="23" t="s">
        <v>144</v>
      </c>
      <c r="N17" s="18" t="s">
        <v>145</v>
      </c>
      <c r="O17" s="18" t="s">
        <v>146</v>
      </c>
      <c r="P17" s="18" t="s">
        <v>33</v>
      </c>
      <c r="Q17" s="18" t="s">
        <v>147</v>
      </c>
      <c r="R17" s="18" t="s">
        <v>148</v>
      </c>
      <c r="S17" s="18" t="s">
        <v>149</v>
      </c>
      <c r="T17" s="18" t="s">
        <v>150</v>
      </c>
      <c r="U17" s="18">
        <v>4388.13</v>
      </c>
      <c r="V17" s="18">
        <v>4.4476527E7</v>
      </c>
      <c r="W17" s="18">
        <v>1.3431911154E10</v>
      </c>
      <c r="X17" s="18" t="s">
        <v>151</v>
      </c>
      <c r="Y17" s="18" t="s">
        <v>39</v>
      </c>
      <c r="Z17" s="18" t="s">
        <v>40</v>
      </c>
      <c r="AA17" s="18" t="s">
        <v>41</v>
      </c>
    </row>
    <row r="18" ht="15.75" customHeight="1">
      <c r="A18" s="9" t="s">
        <v>152</v>
      </c>
      <c r="B18" s="25" t="s">
        <v>153</v>
      </c>
      <c r="C18" s="25" t="s">
        <v>29</v>
      </c>
      <c r="D18" s="25" t="s">
        <v>84</v>
      </c>
      <c r="E18" s="11">
        <v>53.64414253709424</v>
      </c>
      <c r="F18" s="12">
        <v>52.275639800043884</v>
      </c>
      <c r="G18" s="13">
        <v>26.0407217891609</v>
      </c>
      <c r="H18" s="14">
        <v>27.3140095476024</v>
      </c>
      <c r="I18" s="13">
        <f t="shared" ref="I18:J18" si="17">(100-E18)/100*783.509981/G18</f>
        <v>13.94749243</v>
      </c>
      <c r="J18" s="14">
        <f t="shared" si="17"/>
        <v>13.68986581</v>
      </c>
      <c r="K18" s="15">
        <v>40.580152875</v>
      </c>
      <c r="L18" s="16" t="s">
        <v>30</v>
      </c>
      <c r="M18" s="21" t="s">
        <v>154</v>
      </c>
      <c r="N18" s="18" t="s">
        <v>155</v>
      </c>
      <c r="O18" s="18" t="s">
        <v>46</v>
      </c>
      <c r="P18" s="18" t="s">
        <v>33</v>
      </c>
      <c r="Q18" s="18" t="s">
        <v>47</v>
      </c>
      <c r="R18" s="18" t="s">
        <v>48</v>
      </c>
      <c r="S18" s="18" t="s">
        <v>49</v>
      </c>
      <c r="T18" s="18" t="s">
        <v>156</v>
      </c>
      <c r="U18" s="18">
        <v>10508.43</v>
      </c>
      <c r="V18" s="18">
        <v>1.08213741E8</v>
      </c>
      <c r="W18" s="18">
        <v>3.24641223E10</v>
      </c>
      <c r="X18" s="18" t="s">
        <v>157</v>
      </c>
      <c r="Y18" s="18" t="s">
        <v>39</v>
      </c>
      <c r="Z18" s="18" t="s">
        <v>40</v>
      </c>
      <c r="AA18" s="18" t="s">
        <v>52</v>
      </c>
    </row>
    <row r="19" ht="15.75" customHeight="1">
      <c r="A19" s="9" t="s">
        <v>158</v>
      </c>
      <c r="B19" s="10" t="s">
        <v>159</v>
      </c>
      <c r="C19" s="10" t="s">
        <v>29</v>
      </c>
      <c r="D19" s="10" t="s">
        <v>160</v>
      </c>
      <c r="E19" s="11">
        <v>59.429501128461055</v>
      </c>
      <c r="F19" s="12">
        <v>52.95651192964543</v>
      </c>
      <c r="G19" s="13">
        <v>20.4171007324994</v>
      </c>
      <c r="H19" s="14">
        <v>23.1704824317358</v>
      </c>
      <c r="I19" s="13">
        <f t="shared" ref="I19:J19" si="18">(100-E19)/100*783.509981/G19</f>
        <v>15.56900327</v>
      </c>
      <c r="J19" s="14">
        <f t="shared" si="18"/>
        <v>15.90775788</v>
      </c>
      <c r="K19" s="15">
        <v>37.16874225</v>
      </c>
      <c r="L19" s="16" t="s">
        <v>30</v>
      </c>
      <c r="M19" s="23" t="s">
        <v>161</v>
      </c>
      <c r="N19" s="18" t="s">
        <v>162</v>
      </c>
      <c r="O19" s="18" t="s">
        <v>46</v>
      </c>
      <c r="P19" s="18" t="s">
        <v>33</v>
      </c>
      <c r="Q19" s="18" t="s">
        <v>47</v>
      </c>
      <c r="R19" s="18" t="s">
        <v>48</v>
      </c>
      <c r="S19" s="18" t="s">
        <v>49</v>
      </c>
      <c r="T19" s="18" t="s">
        <v>163</v>
      </c>
      <c r="U19" s="18">
        <v>9070.03</v>
      </c>
      <c r="V19" s="18">
        <v>9.9116646E7</v>
      </c>
      <c r="W19" s="18">
        <v>2.97349938E10</v>
      </c>
      <c r="X19" s="18" t="s">
        <v>164</v>
      </c>
      <c r="Y19" s="18" t="s">
        <v>39</v>
      </c>
      <c r="Z19" s="18" t="s">
        <v>40</v>
      </c>
      <c r="AA19" s="18" t="s">
        <v>52</v>
      </c>
    </row>
    <row r="20" ht="15.75" customHeight="1">
      <c r="A20" s="9" t="s">
        <v>165</v>
      </c>
      <c r="B20" s="10" t="s">
        <v>166</v>
      </c>
      <c r="C20" s="10" t="s">
        <v>29</v>
      </c>
      <c r="D20" s="10" t="s">
        <v>160</v>
      </c>
      <c r="E20" s="11">
        <v>51.449068394190625</v>
      </c>
      <c r="F20" s="12">
        <v>43.59497117553236</v>
      </c>
      <c r="G20" s="13">
        <v>30.952724129102</v>
      </c>
      <c r="H20" s="14">
        <v>33.9264924528833</v>
      </c>
      <c r="I20" s="13">
        <f t="shared" ref="I20:J20" si="19">(100-E20)/100*783.509981/G20</f>
        <v>12.28975496</v>
      </c>
      <c r="J20" s="14">
        <f t="shared" si="19"/>
        <v>13.02636962</v>
      </c>
      <c r="K20" s="15">
        <v>49.226238</v>
      </c>
      <c r="L20" s="16" t="s">
        <v>30</v>
      </c>
      <c r="M20" s="21" t="s">
        <v>167</v>
      </c>
      <c r="N20" s="18" t="s">
        <v>168</v>
      </c>
      <c r="O20" s="18" t="s">
        <v>46</v>
      </c>
      <c r="P20" s="18" t="s">
        <v>33</v>
      </c>
      <c r="Q20" s="18" t="s">
        <v>47</v>
      </c>
      <c r="R20" s="18" t="s">
        <v>48</v>
      </c>
      <c r="S20" s="18" t="s">
        <v>49</v>
      </c>
      <c r="T20" s="18" t="s">
        <v>169</v>
      </c>
      <c r="U20" s="18">
        <v>12566.61</v>
      </c>
      <c r="V20" s="18">
        <v>1.31269968E8</v>
      </c>
      <c r="W20" s="18">
        <v>3.93809904E10</v>
      </c>
      <c r="X20" s="18" t="s">
        <v>170</v>
      </c>
      <c r="Y20" s="18" t="s">
        <v>39</v>
      </c>
      <c r="Z20" s="18" t="s">
        <v>40</v>
      </c>
      <c r="AA20" s="18" t="s">
        <v>52</v>
      </c>
    </row>
    <row r="21" ht="15.75" customHeight="1">
      <c r="A21" s="9" t="s">
        <v>171</v>
      </c>
      <c r="B21" s="10" t="s">
        <v>172</v>
      </c>
      <c r="C21" s="10" t="s">
        <v>29</v>
      </c>
      <c r="D21" s="10" t="s">
        <v>160</v>
      </c>
      <c r="E21" s="11">
        <v>51.955136612356696</v>
      </c>
      <c r="F21" s="12">
        <v>44.379102458693055</v>
      </c>
      <c r="G21" s="13">
        <v>29.1982983321342</v>
      </c>
      <c r="H21" s="14">
        <v>31.6850064376336</v>
      </c>
      <c r="I21" s="13">
        <f t="shared" ref="I21:J21" si="20">(100-E21)/100*783.509981/G21</f>
        <v>12.89240543</v>
      </c>
      <c r="J21" s="14">
        <f t="shared" si="20"/>
        <v>13.7539907</v>
      </c>
      <c r="K21" s="15">
        <v>46.7199075</v>
      </c>
      <c r="L21" s="16" t="s">
        <v>30</v>
      </c>
      <c r="M21" s="21" t="s">
        <v>173</v>
      </c>
      <c r="N21" s="18" t="s">
        <v>174</v>
      </c>
      <c r="O21" s="18" t="s">
        <v>46</v>
      </c>
      <c r="P21" s="18" t="s">
        <v>33</v>
      </c>
      <c r="Q21" s="18" t="s">
        <v>47</v>
      </c>
      <c r="R21" s="18" t="s">
        <v>48</v>
      </c>
      <c r="S21" s="18" t="s">
        <v>49</v>
      </c>
      <c r="T21" s="18" t="s">
        <v>175</v>
      </c>
      <c r="U21" s="18">
        <v>11864.68</v>
      </c>
      <c r="V21" s="18">
        <v>1.2458642E8</v>
      </c>
      <c r="W21" s="18">
        <v>3.7375926E10</v>
      </c>
      <c r="X21" s="18" t="s">
        <v>176</v>
      </c>
      <c r="Y21" s="18" t="s">
        <v>39</v>
      </c>
      <c r="Z21" s="18" t="s">
        <v>40</v>
      </c>
      <c r="AA21" s="18" t="s">
        <v>52</v>
      </c>
    </row>
    <row r="22" ht="15.75" customHeight="1">
      <c r="A22" s="9" t="s">
        <v>177</v>
      </c>
      <c r="B22" s="10" t="s">
        <v>178</v>
      </c>
      <c r="C22" s="10" t="s">
        <v>29</v>
      </c>
      <c r="D22" s="10" t="s">
        <v>160</v>
      </c>
      <c r="E22" s="11">
        <v>56.62697792741967</v>
      </c>
      <c r="F22" s="12">
        <v>49.95991844731561</v>
      </c>
      <c r="G22" s="13">
        <v>21.0124480496272</v>
      </c>
      <c r="H22" s="14">
        <v>23.3156245015697</v>
      </c>
      <c r="I22" s="13">
        <f t="shared" ref="I22:J22" si="21">(100-E22)/100*783.509981/G22</f>
        <v>16.17288743</v>
      </c>
      <c r="J22" s="14">
        <f t="shared" si="21"/>
        <v>16.81572087</v>
      </c>
      <c r="K22" s="15">
        <v>33.80089875</v>
      </c>
      <c r="L22" s="16" t="s">
        <v>30</v>
      </c>
      <c r="M22" s="21" t="s">
        <v>179</v>
      </c>
      <c r="N22" s="18" t="s">
        <v>180</v>
      </c>
      <c r="O22" s="18" t="s">
        <v>46</v>
      </c>
      <c r="P22" s="18" t="s">
        <v>33</v>
      </c>
      <c r="Q22" s="18" t="s">
        <v>47</v>
      </c>
      <c r="R22" s="18" t="s">
        <v>48</v>
      </c>
      <c r="S22" s="18" t="s">
        <v>49</v>
      </c>
      <c r="T22" s="18" t="s">
        <v>181</v>
      </c>
      <c r="U22" s="18">
        <v>8370.21</v>
      </c>
      <c r="V22" s="18">
        <v>9.013573E7</v>
      </c>
      <c r="W22" s="18">
        <v>2.7040719E10</v>
      </c>
      <c r="X22" s="18" t="s">
        <v>182</v>
      </c>
      <c r="Y22" s="18" t="s">
        <v>39</v>
      </c>
      <c r="Z22" s="18" t="s">
        <v>40</v>
      </c>
      <c r="AA22" s="18" t="s">
        <v>52</v>
      </c>
    </row>
    <row r="23" ht="15.75" customHeight="1">
      <c r="A23" s="9" t="s">
        <v>183</v>
      </c>
      <c r="B23" s="10" t="s">
        <v>184</v>
      </c>
      <c r="C23" s="10" t="s">
        <v>29</v>
      </c>
      <c r="D23" s="10" t="s">
        <v>160</v>
      </c>
      <c r="E23" s="11">
        <v>52.119414545147954</v>
      </c>
      <c r="F23" s="12">
        <v>45.09818588981742</v>
      </c>
      <c r="G23" s="13">
        <v>29.8962265484635</v>
      </c>
      <c r="H23" s="14">
        <v>32.2907580881712</v>
      </c>
      <c r="I23" s="13">
        <f t="shared" ref="I23:J23" si="22">(100-E23)/100*783.509981/G23</f>
        <v>12.54837848</v>
      </c>
      <c r="J23" s="14">
        <f t="shared" si="22"/>
        <v>13.32149565</v>
      </c>
      <c r="K23" s="15">
        <v>47.365708125</v>
      </c>
      <c r="L23" s="16" t="s">
        <v>30</v>
      </c>
      <c r="M23" s="21" t="s">
        <v>185</v>
      </c>
      <c r="N23" s="18" t="s">
        <v>186</v>
      </c>
      <c r="O23" s="18" t="s">
        <v>46</v>
      </c>
      <c r="P23" s="18" t="s">
        <v>33</v>
      </c>
      <c r="Q23" s="18" t="s">
        <v>47</v>
      </c>
      <c r="R23" s="18" t="s">
        <v>48</v>
      </c>
      <c r="S23" s="18" t="s">
        <v>49</v>
      </c>
      <c r="T23" s="18" t="s">
        <v>187</v>
      </c>
      <c r="U23" s="18">
        <v>12229.34</v>
      </c>
      <c r="V23" s="18">
        <v>1.26308555E8</v>
      </c>
      <c r="W23" s="18">
        <v>3.78925665E10</v>
      </c>
      <c r="X23" s="18" t="s">
        <v>188</v>
      </c>
      <c r="Y23" s="18" t="s">
        <v>39</v>
      </c>
      <c r="Z23" s="18" t="s">
        <v>40</v>
      </c>
      <c r="AA23" s="18" t="s">
        <v>52</v>
      </c>
    </row>
    <row r="24" ht="15.75" customHeight="1">
      <c r="A24" s="9" t="s">
        <v>189</v>
      </c>
      <c r="B24" s="24" t="s">
        <v>190</v>
      </c>
      <c r="C24" s="24" t="s">
        <v>29</v>
      </c>
      <c r="D24" s="24" t="s">
        <v>160</v>
      </c>
      <c r="E24" s="11">
        <v>65.16142900290635</v>
      </c>
      <c r="F24" s="12">
        <v>59.460900795271925</v>
      </c>
      <c r="G24" s="13">
        <v>12.3695963318583</v>
      </c>
      <c r="H24" s="14">
        <v>14.2838304593005</v>
      </c>
      <c r="I24" s="13">
        <f t="shared" ref="I24:J24" si="23">(100-E24)/100*783.509981/G24</f>
        <v>22.0673071</v>
      </c>
      <c r="J24" s="14">
        <f t="shared" si="23"/>
        <v>22.23688452</v>
      </c>
      <c r="K24" s="15">
        <v>19.085080875</v>
      </c>
      <c r="L24" s="16" t="s">
        <v>30</v>
      </c>
      <c r="M24" s="21" t="s">
        <v>191</v>
      </c>
      <c r="N24" s="18" t="s">
        <v>192</v>
      </c>
      <c r="O24" s="18" t="s">
        <v>193</v>
      </c>
      <c r="P24" s="18" t="s">
        <v>194</v>
      </c>
      <c r="Q24" s="18" t="s">
        <v>195</v>
      </c>
      <c r="R24" s="18" t="s">
        <v>196</v>
      </c>
      <c r="S24" s="18" t="s">
        <v>197</v>
      </c>
      <c r="T24" s="18" t="s">
        <v>198</v>
      </c>
      <c r="U24" s="18">
        <v>5521.13</v>
      </c>
      <c r="V24" s="18">
        <v>5.0893549E7</v>
      </c>
      <c r="W24" s="18">
        <v>1.52680647E10</v>
      </c>
      <c r="X24" s="18" t="s">
        <v>199</v>
      </c>
      <c r="Y24" s="18" t="s">
        <v>39</v>
      </c>
      <c r="Z24" s="18" t="s">
        <v>40</v>
      </c>
      <c r="AA24" s="18" t="s">
        <v>41</v>
      </c>
    </row>
    <row r="25" ht="15.75" customHeight="1">
      <c r="A25" s="9" t="s">
        <v>200</v>
      </c>
      <c r="B25" s="10" t="s">
        <v>201</v>
      </c>
      <c r="C25" s="10" t="s">
        <v>29</v>
      </c>
      <c r="D25" s="10" t="s">
        <v>160</v>
      </c>
      <c r="E25" s="11">
        <v>54.08458006612171</v>
      </c>
      <c r="F25" s="12">
        <v>46.6849182314886</v>
      </c>
      <c r="G25" s="13">
        <v>24.9049683729926</v>
      </c>
      <c r="H25" s="14">
        <v>28.0830094568081</v>
      </c>
      <c r="I25" s="13">
        <f t="shared" ref="I25:J25" si="24">(100-E25)/100*783.509981/G25</f>
        <v>14.44498514</v>
      </c>
      <c r="J25" s="14">
        <f t="shared" si="24"/>
        <v>14.87479423</v>
      </c>
      <c r="K25" s="15">
        <v>40.560903375</v>
      </c>
      <c r="L25" s="16" t="s">
        <v>30</v>
      </c>
      <c r="M25" s="21" t="s">
        <v>202</v>
      </c>
      <c r="N25" s="18" t="s">
        <v>203</v>
      </c>
      <c r="O25" s="18" t="s">
        <v>46</v>
      </c>
      <c r="P25" s="18" t="s">
        <v>33</v>
      </c>
      <c r="Q25" s="18" t="s">
        <v>47</v>
      </c>
      <c r="R25" s="18" t="s">
        <v>48</v>
      </c>
      <c r="S25" s="18" t="s">
        <v>49</v>
      </c>
      <c r="T25" s="18" t="s">
        <v>204</v>
      </c>
      <c r="U25" s="18">
        <v>10091.29</v>
      </c>
      <c r="V25" s="18">
        <v>1.08162409E8</v>
      </c>
      <c r="W25" s="18">
        <v>3.24487227E10</v>
      </c>
      <c r="X25" s="18" t="s">
        <v>205</v>
      </c>
      <c r="Y25" s="18" t="s">
        <v>39</v>
      </c>
      <c r="Z25" s="18" t="s">
        <v>40</v>
      </c>
      <c r="AA25" s="18" t="s">
        <v>52</v>
      </c>
    </row>
    <row r="26" ht="15.75" customHeight="1">
      <c r="A26" s="9" t="s">
        <v>206</v>
      </c>
      <c r="B26" s="24" t="s">
        <v>207</v>
      </c>
      <c r="C26" s="24" t="s">
        <v>29</v>
      </c>
      <c r="D26" s="24" t="s">
        <v>160</v>
      </c>
      <c r="E26" s="11">
        <v>72.57486870483147</v>
      </c>
      <c r="F26" s="12">
        <v>67.8453747720392</v>
      </c>
      <c r="G26" s="13">
        <v>9.47372041279608</v>
      </c>
      <c r="H26" s="14">
        <v>10.5292457168042</v>
      </c>
      <c r="I26" s="13">
        <f t="shared" ref="I26:J26" si="25">(100-E26)/100*783.509981/G26</f>
        <v>22.68154765</v>
      </c>
      <c r="J26" s="14">
        <f t="shared" si="25"/>
        <v>23.92713636</v>
      </c>
      <c r="K26" s="15">
        <v>16.396548</v>
      </c>
      <c r="L26" s="16" t="s">
        <v>30</v>
      </c>
      <c r="M26" s="21" t="s">
        <v>208</v>
      </c>
      <c r="N26" s="18" t="s">
        <v>209</v>
      </c>
      <c r="O26" s="18" t="s">
        <v>210</v>
      </c>
      <c r="P26" s="18" t="s">
        <v>33</v>
      </c>
      <c r="Q26" s="18" t="s">
        <v>195</v>
      </c>
      <c r="R26" s="18" t="s">
        <v>211</v>
      </c>
      <c r="S26" s="18" t="s">
        <v>212</v>
      </c>
      <c r="T26" s="18" t="s">
        <v>213</v>
      </c>
      <c r="U26" s="18">
        <v>4104.35</v>
      </c>
      <c r="V26" s="18">
        <v>4.3724128E7</v>
      </c>
      <c r="W26" s="18">
        <v>1.31172384E10</v>
      </c>
      <c r="X26" s="18" t="s">
        <v>214</v>
      </c>
      <c r="Y26" s="18" t="s">
        <v>39</v>
      </c>
      <c r="Z26" s="18" t="s">
        <v>40</v>
      </c>
      <c r="AA26" s="18" t="s">
        <v>41</v>
      </c>
    </row>
    <row r="27" ht="15.75" customHeight="1">
      <c r="A27" s="9" t="s">
        <v>215</v>
      </c>
      <c r="B27" s="10" t="s">
        <v>216</v>
      </c>
      <c r="C27" s="10" t="s">
        <v>29</v>
      </c>
      <c r="D27" s="10" t="s">
        <v>160</v>
      </c>
      <c r="E27" s="11">
        <v>53.93974655697462</v>
      </c>
      <c r="F27" s="12">
        <v>46.57984697963647</v>
      </c>
      <c r="G27" s="13">
        <v>24.4798573135646</v>
      </c>
      <c r="H27" s="14">
        <v>27.2821308833622</v>
      </c>
      <c r="I27" s="13">
        <f t="shared" ref="I27:J27" si="26">(100-E27)/100*783.509981/G27</f>
        <v>14.74218899</v>
      </c>
      <c r="J27" s="14">
        <f t="shared" si="26"/>
        <v>15.34162535</v>
      </c>
      <c r="K27" s="15">
        <v>38.786858625</v>
      </c>
      <c r="L27" s="16" t="s">
        <v>30</v>
      </c>
      <c r="M27" s="21" t="s">
        <v>217</v>
      </c>
      <c r="N27" s="18" t="s">
        <v>218</v>
      </c>
      <c r="O27" s="18" t="s">
        <v>46</v>
      </c>
      <c r="P27" s="18" t="s">
        <v>33</v>
      </c>
      <c r="Q27" s="18" t="s">
        <v>47</v>
      </c>
      <c r="R27" s="18" t="s">
        <v>48</v>
      </c>
      <c r="S27" s="18" t="s">
        <v>49</v>
      </c>
      <c r="T27" s="18" t="s">
        <v>219</v>
      </c>
      <c r="U27" s="18">
        <v>9983.29</v>
      </c>
      <c r="V27" s="18">
        <v>1.03431623E8</v>
      </c>
      <c r="W27" s="18">
        <v>3.10294869E10</v>
      </c>
      <c r="X27" s="18" t="s">
        <v>220</v>
      </c>
      <c r="Y27" s="18" t="s">
        <v>39</v>
      </c>
      <c r="Z27" s="18" t="s">
        <v>40</v>
      </c>
      <c r="AA27" s="18" t="s">
        <v>52</v>
      </c>
    </row>
    <row r="28" ht="15.75" customHeight="1">
      <c r="A28" s="9" t="s">
        <v>221</v>
      </c>
      <c r="B28" s="10" t="s">
        <v>222</v>
      </c>
      <c r="C28" s="10" t="s">
        <v>29</v>
      </c>
      <c r="D28" s="10" t="s">
        <v>160</v>
      </c>
      <c r="E28" s="11">
        <v>53.94560034328395</v>
      </c>
      <c r="F28" s="12">
        <v>46.616093188409494</v>
      </c>
      <c r="G28" s="13">
        <v>24.4226239260631</v>
      </c>
      <c r="H28" s="14">
        <v>27.0707511119176</v>
      </c>
      <c r="I28" s="13">
        <f t="shared" ref="I28:J28" si="27">(100-E28)/100*783.509981/G28</f>
        <v>14.77485872</v>
      </c>
      <c r="J28" s="14">
        <f t="shared" si="27"/>
        <v>15.45092844</v>
      </c>
      <c r="K28" s="15">
        <v>36.650365125</v>
      </c>
      <c r="L28" s="16" t="s">
        <v>30</v>
      </c>
      <c r="M28" s="21" t="s">
        <v>223</v>
      </c>
      <c r="N28" s="18" t="s">
        <v>224</v>
      </c>
      <c r="O28" s="18" t="s">
        <v>46</v>
      </c>
      <c r="P28" s="18" t="s">
        <v>33</v>
      </c>
      <c r="Q28" s="18" t="s">
        <v>47</v>
      </c>
      <c r="R28" s="18" t="s">
        <v>48</v>
      </c>
      <c r="S28" s="18" t="s">
        <v>49</v>
      </c>
      <c r="T28" s="18" t="s">
        <v>225</v>
      </c>
      <c r="U28" s="18">
        <v>9515.91</v>
      </c>
      <c r="V28" s="18">
        <v>9.7734307E7</v>
      </c>
      <c r="W28" s="18">
        <v>2.93202921E10</v>
      </c>
      <c r="X28" s="18" t="s">
        <v>226</v>
      </c>
      <c r="Y28" s="18" t="s">
        <v>39</v>
      </c>
      <c r="Z28" s="18" t="s">
        <v>40</v>
      </c>
      <c r="AA28" s="18" t="s">
        <v>52</v>
      </c>
    </row>
    <row r="29" ht="15.75" customHeight="1">
      <c r="A29" s="9" t="s">
        <v>227</v>
      </c>
      <c r="B29" s="24" t="s">
        <v>228</v>
      </c>
      <c r="C29" s="24" t="s">
        <v>29</v>
      </c>
      <c r="D29" s="24" t="s">
        <v>160</v>
      </c>
      <c r="E29" s="11">
        <v>70.77966221849572</v>
      </c>
      <c r="F29" s="12">
        <v>65.69898783384835</v>
      </c>
      <c r="G29" s="13">
        <v>10.1436768688358</v>
      </c>
      <c r="H29" s="14">
        <v>11.2979983206181</v>
      </c>
      <c r="I29" s="13">
        <f t="shared" ref="I29:J29" si="28">(100-E29)/100*783.509981/G29</f>
        <v>22.57014552</v>
      </c>
      <c r="J29" s="14">
        <f t="shared" si="28"/>
        <v>23.78756363</v>
      </c>
      <c r="K29" s="15">
        <v>16.75462725</v>
      </c>
      <c r="L29" s="16" t="s">
        <v>30</v>
      </c>
      <c r="M29" s="21" t="s">
        <v>229</v>
      </c>
      <c r="N29" s="18" t="s">
        <v>230</v>
      </c>
      <c r="O29" s="18" t="s">
        <v>231</v>
      </c>
      <c r="P29" s="18" t="s">
        <v>33</v>
      </c>
      <c r="Q29" s="18" t="s">
        <v>195</v>
      </c>
      <c r="R29" s="18" t="s">
        <v>211</v>
      </c>
      <c r="S29" s="18" t="s">
        <v>212</v>
      </c>
      <c r="T29" s="18" t="s">
        <v>232</v>
      </c>
      <c r="U29" s="18">
        <v>4185.95</v>
      </c>
      <c r="V29" s="18">
        <v>4.4679006E7</v>
      </c>
      <c r="W29" s="18">
        <v>1.34037018E10</v>
      </c>
      <c r="X29" s="18" t="s">
        <v>233</v>
      </c>
      <c r="Y29" s="18" t="s">
        <v>39</v>
      </c>
      <c r="Z29" s="18" t="s">
        <v>40</v>
      </c>
      <c r="AA29" s="18" t="s">
        <v>41</v>
      </c>
    </row>
    <row r="30" ht="15.75" customHeight="1">
      <c r="A30" s="9" t="s">
        <v>234</v>
      </c>
      <c r="B30" s="26" t="s">
        <v>235</v>
      </c>
      <c r="C30" s="27" t="s">
        <v>29</v>
      </c>
      <c r="D30" s="27" t="s">
        <v>160</v>
      </c>
      <c r="E30" s="11">
        <v>71.95830170285987</v>
      </c>
      <c r="F30" s="12">
        <v>67.43325749725064</v>
      </c>
      <c r="G30" s="13">
        <v>9.91721664594611</v>
      </c>
      <c r="H30" s="14">
        <v>10.8572278223917</v>
      </c>
      <c r="I30" s="13">
        <f t="shared" ref="I30:J30" si="29">(100-E30)/100*783.509981/G30</f>
        <v>22.15435165</v>
      </c>
      <c r="J30" s="14">
        <f t="shared" si="29"/>
        <v>23.50173379</v>
      </c>
      <c r="K30" s="15">
        <v>15.198501375</v>
      </c>
      <c r="L30" s="16" t="s">
        <v>30</v>
      </c>
      <c r="M30" s="21" t="s">
        <v>236</v>
      </c>
      <c r="N30" s="18" t="s">
        <v>237</v>
      </c>
      <c r="O30" s="18" t="s">
        <v>238</v>
      </c>
      <c r="P30" s="18" t="s">
        <v>194</v>
      </c>
      <c r="Q30" s="18" t="s">
        <v>195</v>
      </c>
      <c r="R30" s="18" t="s">
        <v>211</v>
      </c>
      <c r="S30" s="18" t="s">
        <v>212</v>
      </c>
      <c r="T30" s="18" t="s">
        <v>239</v>
      </c>
      <c r="U30" s="18">
        <v>4257.48</v>
      </c>
      <c r="V30" s="18">
        <v>4.0529337E7</v>
      </c>
      <c r="W30" s="18">
        <v>1.21588011E10</v>
      </c>
      <c r="X30" s="18" t="s">
        <v>240</v>
      </c>
      <c r="Y30" s="18" t="s">
        <v>39</v>
      </c>
      <c r="Z30" s="18" t="s">
        <v>40</v>
      </c>
      <c r="AA30" s="18" t="s">
        <v>41</v>
      </c>
    </row>
    <row r="31" ht="15.75" customHeight="1">
      <c r="A31" s="9" t="s">
        <v>241</v>
      </c>
      <c r="B31" s="25" t="s">
        <v>242</v>
      </c>
      <c r="C31" s="25" t="s">
        <v>29</v>
      </c>
      <c r="D31" s="25" t="s">
        <v>160</v>
      </c>
      <c r="E31" s="11">
        <v>52.92581831194311</v>
      </c>
      <c r="F31" s="12">
        <v>45.81727481177058</v>
      </c>
      <c r="G31" s="13">
        <v>27.467855855848</v>
      </c>
      <c r="H31" s="14">
        <v>30.7699678683909</v>
      </c>
      <c r="I31" s="13">
        <f t="shared" ref="I31:J31" si="30">(100-E31)/100*783.509981/G31</f>
        <v>13.42772854</v>
      </c>
      <c r="J31" s="14">
        <f t="shared" si="30"/>
        <v>13.79679893</v>
      </c>
      <c r="K31" s="15">
        <v>43.372315125</v>
      </c>
      <c r="L31" s="16" t="s">
        <v>30</v>
      </c>
      <c r="M31" s="21" t="s">
        <v>243</v>
      </c>
      <c r="N31" s="18" t="s">
        <v>244</v>
      </c>
      <c r="O31" s="18" t="s">
        <v>46</v>
      </c>
      <c r="P31" s="18" t="s">
        <v>33</v>
      </c>
      <c r="Q31" s="18" t="s">
        <v>47</v>
      </c>
      <c r="R31" s="18" t="s">
        <v>48</v>
      </c>
      <c r="S31" s="18" t="s">
        <v>49</v>
      </c>
      <c r="T31" s="18" t="s">
        <v>245</v>
      </c>
      <c r="U31" s="18">
        <v>10969.19</v>
      </c>
      <c r="V31" s="18">
        <v>1.15659507E8</v>
      </c>
      <c r="W31" s="18">
        <v>3.46978521E10</v>
      </c>
      <c r="X31" s="18" t="s">
        <v>246</v>
      </c>
      <c r="Y31" s="18" t="s">
        <v>39</v>
      </c>
      <c r="Z31" s="18" t="s">
        <v>40</v>
      </c>
      <c r="AA31" s="18" t="s">
        <v>52</v>
      </c>
    </row>
    <row r="32" ht="15.75" customHeight="1">
      <c r="A32" s="9" t="s">
        <v>247</v>
      </c>
      <c r="B32" s="25" t="s">
        <v>248</v>
      </c>
      <c r="C32" s="25" t="s">
        <v>29</v>
      </c>
      <c r="D32" s="25" t="s">
        <v>160</v>
      </c>
      <c r="E32" s="11">
        <v>53.96878485967877</v>
      </c>
      <c r="F32" s="12">
        <v>46.71656187781812</v>
      </c>
      <c r="G32" s="13">
        <v>24.1916478480083</v>
      </c>
      <c r="H32" s="14">
        <v>27.1640793337366</v>
      </c>
      <c r="I32" s="13">
        <f t="shared" ref="I32:J32" si="31">(100-E32)/100*783.509981/G32</f>
        <v>14.90841663</v>
      </c>
      <c r="J32" s="14">
        <f t="shared" si="31"/>
        <v>15.36886455</v>
      </c>
      <c r="K32" s="15">
        <v>37.7720805</v>
      </c>
      <c r="L32" s="16" t="s">
        <v>30</v>
      </c>
      <c r="M32" s="19" t="s">
        <v>249</v>
      </c>
      <c r="N32" s="18" t="s">
        <v>250</v>
      </c>
      <c r="O32" s="18" t="s">
        <v>46</v>
      </c>
      <c r="P32" s="18" t="s">
        <v>33</v>
      </c>
      <c r="Q32" s="18" t="s">
        <v>47</v>
      </c>
      <c r="R32" s="18" t="s">
        <v>48</v>
      </c>
      <c r="S32" s="18" t="s">
        <v>49</v>
      </c>
      <c r="T32" s="18" t="s">
        <v>251</v>
      </c>
      <c r="U32" s="18">
        <v>9527.72</v>
      </c>
      <c r="V32" s="18">
        <v>1.00725548E8</v>
      </c>
      <c r="W32" s="18">
        <v>3.02176644E10</v>
      </c>
      <c r="X32" s="18" t="s">
        <v>252</v>
      </c>
      <c r="Y32" s="18" t="s">
        <v>39</v>
      </c>
      <c r="Z32" s="18" t="s">
        <v>40</v>
      </c>
      <c r="AA32" s="18" t="s">
        <v>52</v>
      </c>
    </row>
    <row r="33" ht="15.75" customHeight="1">
      <c r="A33" s="9" t="s">
        <v>253</v>
      </c>
      <c r="B33" s="28" t="s">
        <v>254</v>
      </c>
      <c r="C33" s="29" t="s">
        <v>255</v>
      </c>
      <c r="D33" s="29" t="s">
        <v>255</v>
      </c>
      <c r="E33" s="11">
        <v>54.83019890208648</v>
      </c>
      <c r="F33" s="12">
        <v>56.16635185623745</v>
      </c>
      <c r="G33" s="13">
        <v>31.3439734646812</v>
      </c>
      <c r="H33" s="14">
        <v>30.5360473179459</v>
      </c>
      <c r="I33" s="13">
        <f t="shared" ref="I33:J33" si="32">(100-E33)/100*783.509981/G33</f>
        <v>11.29116257</v>
      </c>
      <c r="J33" s="14">
        <f t="shared" si="32"/>
        <v>11.24706825</v>
      </c>
      <c r="K33" s="30">
        <v>47.1457466</v>
      </c>
      <c r="L33" s="16" t="s">
        <v>30</v>
      </c>
      <c r="M33" s="21" t="s">
        <v>256</v>
      </c>
      <c r="N33" s="31" t="s">
        <v>257</v>
      </c>
      <c r="O33" s="31" t="s">
        <v>46</v>
      </c>
      <c r="P33" s="31" t="s">
        <v>33</v>
      </c>
      <c r="Q33" s="31" t="s">
        <v>47</v>
      </c>
      <c r="R33" s="31" t="s">
        <v>48</v>
      </c>
      <c r="S33" s="31" t="s">
        <v>49</v>
      </c>
      <c r="T33" s="31" t="s">
        <v>258</v>
      </c>
      <c r="U33" s="32">
        <v>12125.49</v>
      </c>
      <c r="V33" s="32">
        <v>1.25721991E8</v>
      </c>
      <c r="W33" s="32">
        <v>3.77165973E10</v>
      </c>
      <c r="X33" s="31" t="s">
        <v>259</v>
      </c>
      <c r="Y33" s="31" t="s">
        <v>39</v>
      </c>
      <c r="Z33" s="31" t="s">
        <v>40</v>
      </c>
      <c r="AA33" s="31" t="s">
        <v>52</v>
      </c>
    </row>
    <row r="34" ht="15.75" customHeight="1">
      <c r="A34" s="9" t="s">
        <v>260</v>
      </c>
      <c r="B34" s="31" t="s">
        <v>261</v>
      </c>
      <c r="C34" s="33" t="s">
        <v>255</v>
      </c>
      <c r="D34" s="33" t="s">
        <v>255</v>
      </c>
      <c r="E34" s="11">
        <v>58.0595672079894</v>
      </c>
      <c r="F34" s="12">
        <v>59.348594752528236</v>
      </c>
      <c r="G34" s="13">
        <v>24.9806487561052</v>
      </c>
      <c r="H34" s="14">
        <v>24.3134363107913</v>
      </c>
      <c r="I34" s="13">
        <f t="shared" ref="I34:J34" si="33">(100-E34)/100*783.509981/G34</f>
        <v>13.1544813</v>
      </c>
      <c r="J34" s="14">
        <f t="shared" si="33"/>
        <v>13.10007411</v>
      </c>
      <c r="K34" s="30">
        <v>40.5427631</v>
      </c>
      <c r="L34" s="16" t="s">
        <v>30</v>
      </c>
      <c r="M34" s="21" t="s">
        <v>262</v>
      </c>
      <c r="N34" s="31" t="s">
        <v>263</v>
      </c>
      <c r="O34" s="31" t="s">
        <v>46</v>
      </c>
      <c r="P34" s="31" t="s">
        <v>33</v>
      </c>
      <c r="Q34" s="31" t="s">
        <v>47</v>
      </c>
      <c r="R34" s="31" t="s">
        <v>48</v>
      </c>
      <c r="S34" s="31" t="s">
        <v>49</v>
      </c>
      <c r="T34" s="31" t="s">
        <v>264</v>
      </c>
      <c r="U34" s="32">
        <v>10168.32</v>
      </c>
      <c r="V34" s="32">
        <v>1.08114035E8</v>
      </c>
      <c r="W34" s="32">
        <v>3.24342105E10</v>
      </c>
      <c r="X34" s="31" t="s">
        <v>265</v>
      </c>
      <c r="Y34" s="31" t="s">
        <v>39</v>
      </c>
      <c r="Z34" s="31" t="s">
        <v>40</v>
      </c>
      <c r="AA34" s="31" t="s">
        <v>52</v>
      </c>
    </row>
    <row r="35" ht="15.75" customHeight="1">
      <c r="A35" s="9" t="s">
        <v>266</v>
      </c>
      <c r="B35" s="28" t="s">
        <v>267</v>
      </c>
      <c r="C35" s="29" t="s">
        <v>255</v>
      </c>
      <c r="D35" s="29" t="s">
        <v>255</v>
      </c>
      <c r="E35" s="11">
        <v>59.47122848458009</v>
      </c>
      <c r="F35" s="12">
        <v>60.69366997864225</v>
      </c>
      <c r="G35" s="13">
        <v>23.0177719933345</v>
      </c>
      <c r="H35" s="14">
        <v>22.3694279332986</v>
      </c>
      <c r="I35" s="13">
        <f t="shared" ref="I35:J35" si="34">(100-E35)/100*783.509981/G35</f>
        <v>13.7957301</v>
      </c>
      <c r="J35" s="14">
        <f t="shared" si="34"/>
        <v>13.76740701</v>
      </c>
      <c r="K35" s="30">
        <v>39.0614786</v>
      </c>
      <c r="L35" s="16" t="s">
        <v>30</v>
      </c>
      <c r="M35" s="21" t="s">
        <v>268</v>
      </c>
      <c r="N35" s="31" t="s">
        <v>269</v>
      </c>
      <c r="O35" s="31" t="s">
        <v>46</v>
      </c>
      <c r="P35" s="31" t="s">
        <v>33</v>
      </c>
      <c r="Q35" s="31" t="s">
        <v>47</v>
      </c>
      <c r="R35" s="31" t="s">
        <v>48</v>
      </c>
      <c r="S35" s="31" t="s">
        <v>49</v>
      </c>
      <c r="T35" s="31" t="s">
        <v>270</v>
      </c>
      <c r="U35" s="32">
        <v>9641.56</v>
      </c>
      <c r="V35" s="32">
        <v>1.04163943E8</v>
      </c>
      <c r="W35" s="32">
        <v>3.12491829E10</v>
      </c>
      <c r="X35" s="31" t="s">
        <v>271</v>
      </c>
      <c r="Y35" s="31" t="s">
        <v>39</v>
      </c>
      <c r="Z35" s="31" t="s">
        <v>40</v>
      </c>
      <c r="AA35" s="31" t="s">
        <v>52</v>
      </c>
    </row>
    <row r="36" ht="15.75" customHeight="1">
      <c r="A36" s="9" t="s">
        <v>272</v>
      </c>
      <c r="B36" s="31" t="s">
        <v>273</v>
      </c>
      <c r="C36" s="33" t="s">
        <v>255</v>
      </c>
      <c r="D36" s="33" t="s">
        <v>255</v>
      </c>
      <c r="E36" s="11">
        <v>57.80706614891227</v>
      </c>
      <c r="F36" s="12">
        <v>59.163230487289766</v>
      </c>
      <c r="G36" s="13">
        <v>23.4257762416209</v>
      </c>
      <c r="H36" s="14">
        <v>22.9286006080927</v>
      </c>
      <c r="I36" s="13">
        <f t="shared" ref="I36:J36" si="35">(100-E36)/100*783.509981/G36</f>
        <v>14.11205522</v>
      </c>
      <c r="J36" s="14">
        <f t="shared" si="35"/>
        <v>13.95463118</v>
      </c>
      <c r="K36" s="30">
        <v>36.1080773</v>
      </c>
      <c r="L36" s="16" t="s">
        <v>30</v>
      </c>
      <c r="M36" s="21" t="s">
        <v>274</v>
      </c>
      <c r="N36" s="31" t="s">
        <v>275</v>
      </c>
      <c r="O36" s="31" t="s">
        <v>46</v>
      </c>
      <c r="P36" s="31" t="s">
        <v>33</v>
      </c>
      <c r="Q36" s="31" t="s">
        <v>47</v>
      </c>
      <c r="R36" s="31" t="s">
        <v>48</v>
      </c>
      <c r="S36" s="31" t="s">
        <v>49</v>
      </c>
      <c r="T36" s="31" t="s">
        <v>276</v>
      </c>
      <c r="U36" s="32">
        <v>9296.36</v>
      </c>
      <c r="V36" s="32">
        <v>9.6288206E7</v>
      </c>
      <c r="W36" s="32">
        <v>2.88864618E10</v>
      </c>
      <c r="X36" s="31" t="s">
        <v>277</v>
      </c>
      <c r="Y36" s="31" t="s">
        <v>39</v>
      </c>
      <c r="Z36" s="31" t="s">
        <v>40</v>
      </c>
      <c r="AA36" s="31" t="s">
        <v>52</v>
      </c>
    </row>
    <row r="37" ht="15.75" customHeight="1">
      <c r="A37" s="9" t="s">
        <v>278</v>
      </c>
      <c r="B37" s="10" t="s">
        <v>279</v>
      </c>
      <c r="C37" s="10" t="s">
        <v>280</v>
      </c>
      <c r="D37" s="22" t="s">
        <v>281</v>
      </c>
      <c r="E37" s="11">
        <v>51.46209885997611</v>
      </c>
      <c r="F37" s="12">
        <v>54.97253698335878</v>
      </c>
      <c r="G37" s="13">
        <v>30.7243765479388</v>
      </c>
      <c r="H37" s="14">
        <v>28.6071391532222</v>
      </c>
      <c r="I37" s="13">
        <f t="shared" ref="I37:J37" si="36">(100-E37)/100*783.509981/G37</f>
        <v>12.3777711</v>
      </c>
      <c r="J37" s="14">
        <f t="shared" si="36"/>
        <v>12.33239944</v>
      </c>
      <c r="K37" s="15">
        <v>47.717875875</v>
      </c>
      <c r="L37" s="16" t="s">
        <v>30</v>
      </c>
      <c r="M37" s="23" t="s">
        <v>282</v>
      </c>
      <c r="N37" s="18" t="s">
        <v>283</v>
      </c>
      <c r="O37" s="18" t="s">
        <v>46</v>
      </c>
      <c r="P37" s="18" t="s">
        <v>33</v>
      </c>
      <c r="Q37" s="18" t="s">
        <v>47</v>
      </c>
      <c r="R37" s="18" t="s">
        <v>48</v>
      </c>
      <c r="S37" s="18" t="s">
        <v>49</v>
      </c>
      <c r="T37" s="18" t="s">
        <v>284</v>
      </c>
      <c r="U37" s="18">
        <v>12438.71</v>
      </c>
      <c r="V37" s="18">
        <v>1.27247669E8</v>
      </c>
      <c r="W37" s="18">
        <v>3.81743007E10</v>
      </c>
      <c r="X37" s="18" t="s">
        <v>285</v>
      </c>
      <c r="Y37" s="18" t="s">
        <v>39</v>
      </c>
      <c r="Z37" s="18" t="s">
        <v>40</v>
      </c>
      <c r="AA37" s="18" t="s">
        <v>52</v>
      </c>
    </row>
    <row r="38" ht="15.75" customHeight="1">
      <c r="A38" s="9" t="s">
        <v>286</v>
      </c>
      <c r="B38" s="24" t="s">
        <v>287</v>
      </c>
      <c r="C38" s="24" t="s">
        <v>280</v>
      </c>
      <c r="D38" s="24" t="s">
        <v>281</v>
      </c>
      <c r="E38" s="11">
        <v>62.361138319691676</v>
      </c>
      <c r="F38" s="12">
        <v>64.18134459420455</v>
      </c>
      <c r="G38" s="13">
        <v>12.7642408354236</v>
      </c>
      <c r="H38" s="14">
        <v>12.105666382791</v>
      </c>
      <c r="I38" s="13">
        <f t="shared" ref="I38:J38" si="37">(100-E38)/100*783.509981/G38</f>
        <v>23.10393871</v>
      </c>
      <c r="J38" s="14">
        <f t="shared" si="37"/>
        <v>23.18275849</v>
      </c>
      <c r="K38" s="15">
        <v>22.71960818125</v>
      </c>
      <c r="L38" s="16" t="s">
        <v>30</v>
      </c>
      <c r="M38" s="21" t="s">
        <v>288</v>
      </c>
      <c r="N38" s="18" t="s">
        <v>289</v>
      </c>
      <c r="O38" s="18" t="s">
        <v>46</v>
      </c>
      <c r="P38" s="18" t="s">
        <v>33</v>
      </c>
      <c r="Q38" s="18" t="s">
        <v>47</v>
      </c>
      <c r="R38" s="18" t="s">
        <v>48</v>
      </c>
      <c r="S38" s="18" t="s">
        <v>49</v>
      </c>
      <c r="T38" s="18" t="s">
        <v>290</v>
      </c>
      <c r="U38" s="18">
        <v>5445.17</v>
      </c>
      <c r="V38" s="18">
        <v>1.17259933E8</v>
      </c>
      <c r="W38" s="18">
        <v>1.8175686545E10</v>
      </c>
      <c r="X38" s="18" t="s">
        <v>291</v>
      </c>
      <c r="Y38" s="18" t="s">
        <v>39</v>
      </c>
      <c r="Z38" s="18" t="s">
        <v>40</v>
      </c>
      <c r="AA38" s="18" t="s">
        <v>52</v>
      </c>
    </row>
    <row r="39" ht="15.75" customHeight="1">
      <c r="A39" s="9" t="s">
        <v>292</v>
      </c>
      <c r="B39" s="10" t="s">
        <v>293</v>
      </c>
      <c r="C39" s="10" t="s">
        <v>280</v>
      </c>
      <c r="D39" s="22" t="s">
        <v>281</v>
      </c>
      <c r="E39" s="11">
        <v>51.37175680726906</v>
      </c>
      <c r="F39" s="12">
        <v>54.7658332359772</v>
      </c>
      <c r="G39" s="13">
        <v>32.1449865666695</v>
      </c>
      <c r="H39" s="14">
        <v>30.4740329122946</v>
      </c>
      <c r="I39" s="13">
        <f t="shared" ref="I39:J39" si="38">(100-E39)/100*783.509981/G39</f>
        <v>11.8527702</v>
      </c>
      <c r="J39" s="14">
        <f t="shared" si="38"/>
        <v>11.63003966</v>
      </c>
      <c r="K39" s="15">
        <v>50.4041535</v>
      </c>
      <c r="L39" s="16" t="s">
        <v>30</v>
      </c>
      <c r="M39" s="21" t="s">
        <v>294</v>
      </c>
      <c r="N39" s="18" t="s">
        <v>295</v>
      </c>
      <c r="O39" s="18" t="s">
        <v>46</v>
      </c>
      <c r="P39" s="18" t="s">
        <v>33</v>
      </c>
      <c r="Q39" s="18" t="s">
        <v>47</v>
      </c>
      <c r="R39" s="18" t="s">
        <v>48</v>
      </c>
      <c r="S39" s="18" t="s">
        <v>49</v>
      </c>
      <c r="T39" s="18" t="s">
        <v>296</v>
      </c>
      <c r="U39" s="18">
        <v>13393.38</v>
      </c>
      <c r="V39" s="18">
        <v>1.34411076E8</v>
      </c>
      <c r="W39" s="18">
        <v>4.03233228E10</v>
      </c>
      <c r="X39" s="18" t="s">
        <v>297</v>
      </c>
      <c r="Y39" s="18" t="s">
        <v>39</v>
      </c>
      <c r="Z39" s="18" t="s">
        <v>40</v>
      </c>
      <c r="AA39" s="18" t="s">
        <v>52</v>
      </c>
    </row>
    <row r="40" ht="15.75" customHeight="1">
      <c r="A40" s="9" t="s">
        <v>298</v>
      </c>
      <c r="B40" s="10" t="s">
        <v>299</v>
      </c>
      <c r="C40" s="10" t="s">
        <v>280</v>
      </c>
      <c r="D40" s="10" t="s">
        <v>281</v>
      </c>
      <c r="E40" s="11">
        <v>51.569265076152234</v>
      </c>
      <c r="F40" s="12">
        <v>55.147657733110684</v>
      </c>
      <c r="G40" s="13">
        <v>28.9007719988272</v>
      </c>
      <c r="H40" s="14">
        <v>26.8766938051916</v>
      </c>
      <c r="I40" s="13">
        <f t="shared" ref="I40:J40" si="39">(100-E40)/100*783.509981/G40</f>
        <v>13.12974069</v>
      </c>
      <c r="J40" s="14">
        <f t="shared" si="39"/>
        <v>13.07536488</v>
      </c>
      <c r="K40" s="15">
        <v>41.798742375</v>
      </c>
      <c r="L40" s="16" t="s">
        <v>30</v>
      </c>
      <c r="M40" s="21" t="s">
        <v>300</v>
      </c>
      <c r="N40" s="18" t="s">
        <v>301</v>
      </c>
      <c r="O40" s="18" t="s">
        <v>46</v>
      </c>
      <c r="P40" s="18" t="s">
        <v>33</v>
      </c>
      <c r="Q40" s="18" t="s">
        <v>47</v>
      </c>
      <c r="R40" s="18" t="s">
        <v>48</v>
      </c>
      <c r="S40" s="18" t="s">
        <v>49</v>
      </c>
      <c r="T40" s="18" t="s">
        <v>302</v>
      </c>
      <c r="U40" s="18">
        <v>10517.0</v>
      </c>
      <c r="V40" s="18">
        <v>1.11463313E8</v>
      </c>
      <c r="W40" s="18">
        <v>3.34389939E10</v>
      </c>
      <c r="X40" s="18" t="s">
        <v>303</v>
      </c>
      <c r="Y40" s="18" t="s">
        <v>39</v>
      </c>
      <c r="Z40" s="18" t="s">
        <v>40</v>
      </c>
      <c r="AA40" s="18" t="s">
        <v>52</v>
      </c>
    </row>
    <row r="41" ht="15.75" customHeight="1">
      <c r="A41" s="9" t="s">
        <v>304</v>
      </c>
      <c r="B41" s="10" t="s">
        <v>305</v>
      </c>
      <c r="C41" s="10" t="s">
        <v>280</v>
      </c>
      <c r="D41" s="10" t="s">
        <v>281</v>
      </c>
      <c r="E41" s="11">
        <v>53.06640005649143</v>
      </c>
      <c r="F41" s="12">
        <v>56.44197648661887</v>
      </c>
      <c r="G41" s="13">
        <v>26.8577602500303</v>
      </c>
      <c r="H41" s="14">
        <v>24.8193098195553</v>
      </c>
      <c r="I41" s="13">
        <f t="shared" ref="I41:J41" si="40">(100-E41)/100*783.509981/G41</f>
        <v>13.69173887</v>
      </c>
      <c r="J41" s="14">
        <f t="shared" si="40"/>
        <v>13.75064271</v>
      </c>
      <c r="K41" s="15">
        <v>40.100921625</v>
      </c>
      <c r="L41" s="16" t="s">
        <v>30</v>
      </c>
      <c r="M41" s="21" t="s">
        <v>306</v>
      </c>
      <c r="N41" s="18" t="s">
        <v>307</v>
      </c>
      <c r="O41" s="18" t="s">
        <v>46</v>
      </c>
      <c r="P41" s="18" t="s">
        <v>33</v>
      </c>
      <c r="Q41" s="18" t="s">
        <v>47</v>
      </c>
      <c r="R41" s="18" t="s">
        <v>48</v>
      </c>
      <c r="S41" s="18" t="s">
        <v>49</v>
      </c>
      <c r="T41" s="18" t="s">
        <v>308</v>
      </c>
      <c r="U41" s="18">
        <v>10512.52</v>
      </c>
      <c r="V41" s="18">
        <v>1.06935791E8</v>
      </c>
      <c r="W41" s="18">
        <v>3.20807373E10</v>
      </c>
      <c r="X41" s="18" t="s">
        <v>309</v>
      </c>
      <c r="Y41" s="18" t="s">
        <v>39</v>
      </c>
      <c r="Z41" s="18" t="s">
        <v>40</v>
      </c>
      <c r="AA41" s="18" t="s">
        <v>52</v>
      </c>
    </row>
    <row r="42" ht="15.75" customHeight="1">
      <c r="A42" s="9" t="s">
        <v>310</v>
      </c>
      <c r="B42" s="10" t="s">
        <v>311</v>
      </c>
      <c r="C42" s="10" t="s">
        <v>280</v>
      </c>
      <c r="D42" s="10" t="s">
        <v>281</v>
      </c>
      <c r="E42" s="11">
        <v>55.89203681120687</v>
      </c>
      <c r="F42" s="12">
        <v>58.85576192011947</v>
      </c>
      <c r="G42" s="13">
        <v>19.2706295282961</v>
      </c>
      <c r="H42" s="14">
        <v>18.6273054561324</v>
      </c>
      <c r="I42" s="13">
        <f t="shared" ref="I42:J42" si="41">(100-E42)/100*783.509981/G42</f>
        <v>17.93352384</v>
      </c>
      <c r="J42" s="14">
        <f t="shared" si="41"/>
        <v>17.30627184</v>
      </c>
      <c r="K42" s="15">
        <v>33.257488125</v>
      </c>
      <c r="L42" s="16" t="s">
        <v>30</v>
      </c>
      <c r="M42" s="19" t="s">
        <v>312</v>
      </c>
      <c r="N42" s="18" t="s">
        <v>313</v>
      </c>
      <c r="O42" s="18" t="s">
        <v>314</v>
      </c>
      <c r="P42" s="18" t="s">
        <v>194</v>
      </c>
      <c r="Q42" s="18" t="s">
        <v>315</v>
      </c>
      <c r="R42" s="18" t="s">
        <v>316</v>
      </c>
      <c r="S42" s="18" t="s">
        <v>311</v>
      </c>
      <c r="T42" s="18" t="s">
        <v>317</v>
      </c>
      <c r="U42" s="18">
        <v>8260.27</v>
      </c>
      <c r="V42" s="18">
        <v>8.8686635E7</v>
      </c>
      <c r="W42" s="18">
        <v>2.66059905E10</v>
      </c>
      <c r="X42" s="18" t="s">
        <v>314</v>
      </c>
      <c r="Y42" s="18" t="s">
        <v>39</v>
      </c>
      <c r="Z42" s="18" t="s">
        <v>40</v>
      </c>
      <c r="AA42" s="18" t="s">
        <v>41</v>
      </c>
    </row>
    <row r="43" ht="15.75" customHeight="1">
      <c r="A43" s="9" t="s">
        <v>318</v>
      </c>
      <c r="B43" s="10" t="s">
        <v>319</v>
      </c>
      <c r="C43" s="10" t="s">
        <v>280</v>
      </c>
      <c r="D43" s="34" t="s">
        <v>281</v>
      </c>
      <c r="E43" s="11">
        <v>51.31963175335733</v>
      </c>
      <c r="F43" s="12">
        <v>54.87210360996261</v>
      </c>
      <c r="G43" s="13">
        <v>30.2487064670903</v>
      </c>
      <c r="H43" s="14">
        <v>27.998502640618</v>
      </c>
      <c r="I43" s="13">
        <f t="shared" ref="I43:J43" si="42">(100-E43)/100*783.509981/G43</f>
        <v>12.60931751</v>
      </c>
      <c r="J43" s="14">
        <f t="shared" si="42"/>
        <v>12.62858864</v>
      </c>
      <c r="K43" s="35">
        <v>44.8826595</v>
      </c>
      <c r="L43" s="16" t="s">
        <v>30</v>
      </c>
      <c r="M43" s="21" t="s">
        <v>320</v>
      </c>
      <c r="N43" s="18" t="s">
        <v>321</v>
      </c>
      <c r="O43" s="18" t="s">
        <v>46</v>
      </c>
      <c r="P43" s="18" t="s">
        <v>33</v>
      </c>
      <c r="Q43" s="18" t="s">
        <v>47</v>
      </c>
      <c r="R43" s="18" t="s">
        <v>48</v>
      </c>
      <c r="S43" s="18" t="s">
        <v>49</v>
      </c>
      <c r="T43" s="18" t="s">
        <v>322</v>
      </c>
      <c r="U43" s="18">
        <v>11747.07</v>
      </c>
      <c r="V43" s="18">
        <v>1.19687092E8</v>
      </c>
      <c r="W43" s="18">
        <v>3.59061276E10</v>
      </c>
      <c r="X43" s="18" t="s">
        <v>323</v>
      </c>
      <c r="Y43" s="18" t="s">
        <v>39</v>
      </c>
      <c r="Z43" s="18" t="s">
        <v>40</v>
      </c>
      <c r="AA43" s="18" t="s">
        <v>52</v>
      </c>
    </row>
    <row r="44" ht="15.75" customHeight="1">
      <c r="A44" s="9" t="s">
        <v>324</v>
      </c>
      <c r="B44" s="10" t="s">
        <v>325</v>
      </c>
      <c r="C44" s="10" t="s">
        <v>280</v>
      </c>
      <c r="D44" s="34" t="s">
        <v>281</v>
      </c>
      <c r="E44" s="11">
        <v>53.10094333054833</v>
      </c>
      <c r="F44" s="12">
        <v>56.449579537414195</v>
      </c>
      <c r="G44" s="13">
        <v>26.6296698984788</v>
      </c>
      <c r="H44" s="14">
        <v>24.5723996373324</v>
      </c>
      <c r="I44" s="13">
        <f t="shared" ref="I44:J44" si="43">(100-E44)/100*783.509981/G44</f>
        <v>13.79884886</v>
      </c>
      <c r="J44" s="14">
        <f t="shared" si="43"/>
        <v>13.88638864</v>
      </c>
      <c r="K44" s="15">
        <v>38.46003675</v>
      </c>
      <c r="L44" s="16" t="s">
        <v>30</v>
      </c>
      <c r="M44" s="21" t="s">
        <v>326</v>
      </c>
      <c r="N44" s="18" t="s">
        <v>327</v>
      </c>
      <c r="O44" s="18" t="s">
        <v>46</v>
      </c>
      <c r="P44" s="18" t="s">
        <v>33</v>
      </c>
      <c r="Q44" s="18" t="s">
        <v>47</v>
      </c>
      <c r="R44" s="18" t="s">
        <v>48</v>
      </c>
      <c r="S44" s="18" t="s">
        <v>49</v>
      </c>
      <c r="T44" s="18" t="s">
        <v>328</v>
      </c>
      <c r="U44" s="18">
        <v>10070.45</v>
      </c>
      <c r="V44" s="18">
        <v>1.02560098E8</v>
      </c>
      <c r="W44" s="18">
        <v>3.07680294E10</v>
      </c>
      <c r="X44" s="18" t="s">
        <v>329</v>
      </c>
      <c r="Y44" s="18" t="s">
        <v>39</v>
      </c>
      <c r="Z44" s="18" t="s">
        <v>40</v>
      </c>
      <c r="AA44" s="18" t="s">
        <v>52</v>
      </c>
    </row>
    <row r="45" ht="15.75" customHeight="1">
      <c r="A45" s="9" t="s">
        <v>330</v>
      </c>
      <c r="B45" s="24" t="s">
        <v>331</v>
      </c>
      <c r="C45" s="24" t="s">
        <v>280</v>
      </c>
      <c r="D45" s="36" t="s">
        <v>332</v>
      </c>
      <c r="E45" s="11">
        <v>48.65847637491678</v>
      </c>
      <c r="F45" s="12">
        <v>63.69319344209053</v>
      </c>
      <c r="G45" s="13">
        <v>15.6603207560793</v>
      </c>
      <c r="H45" s="14">
        <v>12.2410401192867</v>
      </c>
      <c r="I45" s="13">
        <f t="shared" ref="I45:J45" si="44">(100-E45)/100*783.509981/G45</f>
        <v>25.68695548</v>
      </c>
      <c r="J45" s="14">
        <f t="shared" si="44"/>
        <v>23.23883023</v>
      </c>
      <c r="K45" s="15">
        <v>25.3727009525</v>
      </c>
      <c r="L45" s="16" t="s">
        <v>30</v>
      </c>
      <c r="M45" s="19" t="s">
        <v>333</v>
      </c>
      <c r="N45" s="18" t="s">
        <v>334</v>
      </c>
      <c r="O45" s="18" t="s">
        <v>46</v>
      </c>
      <c r="P45" s="18" t="s">
        <v>33</v>
      </c>
      <c r="Q45" s="18" t="s">
        <v>47</v>
      </c>
      <c r="R45" s="18" t="s">
        <v>48</v>
      </c>
      <c r="S45" s="18" t="s">
        <v>49</v>
      </c>
      <c r="T45" s="18" t="s">
        <v>335</v>
      </c>
      <c r="U45" s="18">
        <v>6624.93</v>
      </c>
      <c r="V45" s="18">
        <v>1.33332815E8</v>
      </c>
      <c r="W45" s="18">
        <v>2.0298160762E10</v>
      </c>
      <c r="X45" s="18" t="s">
        <v>336</v>
      </c>
      <c r="Y45" s="18" t="s">
        <v>39</v>
      </c>
      <c r="Z45" s="18" t="s">
        <v>40</v>
      </c>
      <c r="AA45" s="18" t="s">
        <v>52</v>
      </c>
    </row>
    <row r="46" ht="15.75" customHeight="1">
      <c r="A46" s="9" t="s">
        <v>337</v>
      </c>
      <c r="B46" s="10" t="s">
        <v>338</v>
      </c>
      <c r="C46" s="10" t="s">
        <v>280</v>
      </c>
      <c r="D46" s="18" t="s">
        <v>332</v>
      </c>
      <c r="E46" s="11">
        <v>37.718022382155205</v>
      </c>
      <c r="F46" s="12">
        <v>55.81747532685475</v>
      </c>
      <c r="G46" s="13">
        <v>31.3714708324142</v>
      </c>
      <c r="H46" s="14">
        <v>25.8484623721356</v>
      </c>
      <c r="I46" s="13">
        <f t="shared" ref="I46:J46" si="45">(100-E46)/100*783.509981/G46</f>
        <v>15.55507275</v>
      </c>
      <c r="J46" s="14">
        <f t="shared" si="45"/>
        <v>13.3924597</v>
      </c>
      <c r="K46" s="15">
        <v>43.14699525</v>
      </c>
      <c r="L46" s="16" t="s">
        <v>30</v>
      </c>
      <c r="M46" s="21" t="s">
        <v>339</v>
      </c>
      <c r="N46" s="18" t="s">
        <v>340</v>
      </c>
      <c r="O46" s="18" t="s">
        <v>46</v>
      </c>
      <c r="P46" s="18" t="s">
        <v>33</v>
      </c>
      <c r="Q46" s="18" t="s">
        <v>47</v>
      </c>
      <c r="R46" s="18" t="s">
        <v>48</v>
      </c>
      <c r="S46" s="18" t="s">
        <v>49</v>
      </c>
      <c r="T46" s="18" t="s">
        <v>341</v>
      </c>
      <c r="U46" s="18">
        <v>10807.36</v>
      </c>
      <c r="V46" s="18">
        <v>1.15058654E8</v>
      </c>
      <c r="W46" s="18">
        <v>3.45175962E10</v>
      </c>
      <c r="X46" s="18" t="s">
        <v>342</v>
      </c>
      <c r="Y46" s="18" t="s">
        <v>39</v>
      </c>
      <c r="Z46" s="18" t="s">
        <v>40</v>
      </c>
      <c r="AA46" s="18" t="s">
        <v>52</v>
      </c>
    </row>
    <row r="47" ht="15.75" customHeight="1">
      <c r="A47" s="9" t="s">
        <v>343</v>
      </c>
      <c r="B47" s="10" t="s">
        <v>344</v>
      </c>
      <c r="C47" s="10" t="s">
        <v>280</v>
      </c>
      <c r="D47" s="18" t="s">
        <v>345</v>
      </c>
      <c r="E47" s="11">
        <v>40.195965927331315</v>
      </c>
      <c r="F47" s="12">
        <v>53.27830656830086</v>
      </c>
      <c r="G47" s="13">
        <v>33.290922471221</v>
      </c>
      <c r="H47" s="14">
        <v>29.0202470527654</v>
      </c>
      <c r="I47" s="13">
        <f t="shared" ref="I47:J47" si="46">(100-E47)/100*783.509981/G47</f>
        <v>14.0750253</v>
      </c>
      <c r="J47" s="14">
        <f t="shared" si="46"/>
        <v>12.61426654</v>
      </c>
      <c r="K47" s="15">
        <v>43.985245125</v>
      </c>
      <c r="L47" s="16" t="s">
        <v>30</v>
      </c>
      <c r="M47" s="21" t="s">
        <v>346</v>
      </c>
      <c r="N47" s="18" t="s">
        <v>347</v>
      </c>
      <c r="O47" s="18" t="s">
        <v>46</v>
      </c>
      <c r="P47" s="18" t="s">
        <v>33</v>
      </c>
      <c r="Q47" s="18" t="s">
        <v>47</v>
      </c>
      <c r="R47" s="18" t="s">
        <v>48</v>
      </c>
      <c r="S47" s="18" t="s">
        <v>49</v>
      </c>
      <c r="T47" s="18" t="s">
        <v>348</v>
      </c>
      <c r="U47" s="18">
        <v>11503.02</v>
      </c>
      <c r="V47" s="18">
        <v>1.17293987E8</v>
      </c>
      <c r="W47" s="18">
        <v>3.51881961E10</v>
      </c>
      <c r="X47" s="18" t="s">
        <v>349</v>
      </c>
      <c r="Y47" s="18" t="s">
        <v>39</v>
      </c>
      <c r="Z47" s="18" t="s">
        <v>40</v>
      </c>
      <c r="AA47" s="18" t="s">
        <v>52</v>
      </c>
    </row>
    <row r="48" ht="15.75" customHeight="1">
      <c r="A48" s="9" t="s">
        <v>350</v>
      </c>
      <c r="B48" s="10" t="s">
        <v>351</v>
      </c>
      <c r="C48" s="10" t="s">
        <v>280</v>
      </c>
      <c r="D48" s="10" t="s">
        <v>345</v>
      </c>
      <c r="E48" s="11">
        <v>44.041021731413025</v>
      </c>
      <c r="F48" s="12">
        <v>56.30966623146108</v>
      </c>
      <c r="G48" s="13">
        <v>26.397935295535</v>
      </c>
      <c r="H48" s="14">
        <v>23.1502672820587</v>
      </c>
      <c r="I48" s="13">
        <f t="shared" ref="I48:J48" si="47">(100-E48)/100*783.509981/G48</f>
        <v>16.60903306</v>
      </c>
      <c r="J48" s="14">
        <f t="shared" si="47"/>
        <v>14.78678935</v>
      </c>
      <c r="K48" s="15">
        <v>36.575481</v>
      </c>
      <c r="L48" s="16" t="s">
        <v>30</v>
      </c>
      <c r="M48" s="21" t="s">
        <v>352</v>
      </c>
      <c r="N48" s="18" t="s">
        <v>353</v>
      </c>
      <c r="O48" s="18" t="s">
        <v>46</v>
      </c>
      <c r="P48" s="18" t="s">
        <v>33</v>
      </c>
      <c r="Q48" s="18" t="s">
        <v>47</v>
      </c>
      <c r="R48" s="18" t="s">
        <v>48</v>
      </c>
      <c r="S48" s="18" t="s">
        <v>49</v>
      </c>
      <c r="T48" s="18" t="s">
        <v>354</v>
      </c>
      <c r="U48" s="18">
        <v>9293.09</v>
      </c>
      <c r="V48" s="18">
        <v>9.7534616E7</v>
      </c>
      <c r="W48" s="18">
        <v>2.92603848E10</v>
      </c>
      <c r="X48" s="18" t="s">
        <v>355</v>
      </c>
      <c r="Y48" s="18" t="s">
        <v>39</v>
      </c>
      <c r="Z48" s="18" t="s">
        <v>40</v>
      </c>
      <c r="AA48" s="18" t="s">
        <v>52</v>
      </c>
    </row>
    <row r="49" ht="15.75" customHeight="1">
      <c r="A49" s="9" t="s">
        <v>356</v>
      </c>
      <c r="B49" s="10" t="s">
        <v>357</v>
      </c>
      <c r="C49" s="10" t="s">
        <v>280</v>
      </c>
      <c r="D49" s="10" t="s">
        <v>345</v>
      </c>
      <c r="E49" s="11">
        <v>44.168726294757946</v>
      </c>
      <c r="F49" s="12">
        <v>56.75600746773681</v>
      </c>
      <c r="G49" s="13">
        <v>25.3173533620613</v>
      </c>
      <c r="H49" s="14">
        <v>21.0397083057986</v>
      </c>
      <c r="I49" s="13">
        <f t="shared" ref="I49:J49" si="48">(100-E49)/100*783.509981/G49</f>
        <v>17.27840962</v>
      </c>
      <c r="J49" s="14">
        <f t="shared" si="48"/>
        <v>16.10388285</v>
      </c>
      <c r="K49" s="15">
        <v>34.117008</v>
      </c>
      <c r="L49" s="16" t="s">
        <v>30</v>
      </c>
      <c r="M49" s="21" t="s">
        <v>358</v>
      </c>
      <c r="N49" s="18" t="s">
        <v>359</v>
      </c>
      <c r="O49" s="18" t="s">
        <v>46</v>
      </c>
      <c r="P49" s="18" t="s">
        <v>33</v>
      </c>
      <c r="Q49" s="18" t="s">
        <v>47</v>
      </c>
      <c r="R49" s="18" t="s">
        <v>48</v>
      </c>
      <c r="S49" s="18" t="s">
        <v>49</v>
      </c>
      <c r="T49" s="18" t="s">
        <v>360</v>
      </c>
      <c r="U49" s="18">
        <v>8902.34</v>
      </c>
      <c r="V49" s="18">
        <v>9.0978688E7</v>
      </c>
      <c r="W49" s="18">
        <v>2.72936064E10</v>
      </c>
      <c r="X49" s="18" t="s">
        <v>361</v>
      </c>
      <c r="Y49" s="18" t="s">
        <v>39</v>
      </c>
      <c r="Z49" s="18" t="s">
        <v>40</v>
      </c>
      <c r="AA49" s="18" t="s">
        <v>52</v>
      </c>
    </row>
    <row r="50" ht="15.75" customHeight="1">
      <c r="A50" s="37" t="s">
        <v>362</v>
      </c>
      <c r="B50" s="10" t="s">
        <v>363</v>
      </c>
      <c r="C50" s="10" t="s">
        <v>280</v>
      </c>
      <c r="D50" s="10" t="s">
        <v>280</v>
      </c>
      <c r="E50" s="11">
        <v>18.23968685345949</v>
      </c>
      <c r="F50" s="12">
        <v>53.88054166856319</v>
      </c>
      <c r="G50" s="13">
        <v>37.3365179439207</v>
      </c>
      <c r="H50" s="14">
        <v>28.5352428846077</v>
      </c>
      <c r="I50" s="13">
        <f t="shared" ref="I50:J50" si="49">(100-E50)/100*783.509981/G50</f>
        <v>17.15747074</v>
      </c>
      <c r="J50" s="14">
        <f t="shared" si="49"/>
        <v>12.66330764</v>
      </c>
      <c r="K50" s="38" t="s">
        <v>364</v>
      </c>
      <c r="L50" s="16" t="s">
        <v>365</v>
      </c>
      <c r="M50" s="39" t="s">
        <v>364</v>
      </c>
      <c r="AC50" s="40"/>
    </row>
    <row r="51" ht="15.75" customHeight="1">
      <c r="A51" s="9" t="s">
        <v>366</v>
      </c>
      <c r="B51" s="10" t="s">
        <v>367</v>
      </c>
      <c r="C51" s="10" t="s">
        <v>280</v>
      </c>
      <c r="D51" s="10" t="s">
        <v>280</v>
      </c>
      <c r="E51" s="11">
        <v>30.031163317114135</v>
      </c>
      <c r="F51" s="12">
        <v>53.20008160070418</v>
      </c>
      <c r="G51" s="13">
        <v>40.6095121529819</v>
      </c>
      <c r="H51" s="14">
        <v>32.5565824094425</v>
      </c>
      <c r="I51" s="13">
        <f t="shared" ref="I51:J51" si="50">(100-E51)/100*783.509981/G51</f>
        <v>13.49961598</v>
      </c>
      <c r="J51" s="14">
        <f t="shared" si="50"/>
        <v>11.26291535</v>
      </c>
      <c r="K51" s="15">
        <v>48.022213125</v>
      </c>
      <c r="L51" s="16" t="s">
        <v>30</v>
      </c>
      <c r="M51" s="23" t="s">
        <v>368</v>
      </c>
      <c r="N51" s="18" t="s">
        <v>369</v>
      </c>
      <c r="O51" s="18" t="s">
        <v>367</v>
      </c>
      <c r="P51" s="18" t="s">
        <v>370</v>
      </c>
      <c r="Q51" s="18" t="s">
        <v>371</v>
      </c>
      <c r="R51" s="18" t="s">
        <v>372</v>
      </c>
      <c r="S51" s="18" t="s">
        <v>373</v>
      </c>
      <c r="T51" s="18" t="s">
        <v>374</v>
      </c>
      <c r="U51" s="18">
        <v>22929.31</v>
      </c>
      <c r="V51" s="18">
        <v>1.28059235E8</v>
      </c>
      <c r="W51" s="18">
        <v>3.84177705E10</v>
      </c>
      <c r="X51" s="18" t="s">
        <v>375</v>
      </c>
      <c r="Y51" s="18" t="s">
        <v>39</v>
      </c>
      <c r="Z51" s="18" t="s">
        <v>40</v>
      </c>
      <c r="AA51" s="18" t="s">
        <v>376</v>
      </c>
    </row>
    <row r="52" ht="15.75" customHeight="1">
      <c r="A52" s="41" t="s">
        <v>377</v>
      </c>
      <c r="B52" s="10" t="s">
        <v>378</v>
      </c>
      <c r="C52" s="10" t="s">
        <v>280</v>
      </c>
      <c r="D52" s="10" t="s">
        <v>280</v>
      </c>
      <c r="E52" s="11">
        <v>40.61972938670196</v>
      </c>
      <c r="F52" s="12">
        <v>64.85254699992834</v>
      </c>
      <c r="G52" s="13">
        <v>15.9059830271458</v>
      </c>
      <c r="H52" s="14">
        <v>12.7072233240385</v>
      </c>
      <c r="I52" s="13">
        <f t="shared" ref="I52:J52" si="51">(100-E52)/100*783.509981/G52</f>
        <v>29.25002159</v>
      </c>
      <c r="J52" s="14">
        <f t="shared" si="51"/>
        <v>21.67143799</v>
      </c>
      <c r="K52" s="38" t="s">
        <v>364</v>
      </c>
      <c r="L52" s="16" t="s">
        <v>379</v>
      </c>
      <c r="M52" s="39" t="s">
        <v>364</v>
      </c>
    </row>
    <row r="53" ht="15.75" customHeight="1">
      <c r="A53" s="9" t="s">
        <v>380</v>
      </c>
      <c r="B53" s="10" t="s">
        <v>381</v>
      </c>
      <c r="C53" s="10" t="s">
        <v>280</v>
      </c>
      <c r="D53" s="10" t="s">
        <v>280</v>
      </c>
      <c r="E53" s="11">
        <v>30.007169238600923</v>
      </c>
      <c r="F53" s="12">
        <v>55.19115620359415</v>
      </c>
      <c r="G53" s="13">
        <v>32.4488400077684</v>
      </c>
      <c r="H53" s="14">
        <v>25.8297614062599</v>
      </c>
      <c r="I53" s="13">
        <f t="shared" ref="I53:J53" si="52">(100-E53)/100*783.509981/G53</f>
        <v>16.90047517</v>
      </c>
      <c r="J53" s="14">
        <f t="shared" si="52"/>
        <v>13.59214117</v>
      </c>
      <c r="K53" s="15">
        <v>41.79233475</v>
      </c>
      <c r="L53" s="16" t="s">
        <v>30</v>
      </c>
      <c r="M53" s="21" t="s">
        <v>382</v>
      </c>
      <c r="N53" s="18" t="s">
        <v>383</v>
      </c>
      <c r="O53" s="18" t="s">
        <v>46</v>
      </c>
      <c r="P53" s="18" t="s">
        <v>33</v>
      </c>
      <c r="Q53" s="18" t="s">
        <v>47</v>
      </c>
      <c r="R53" s="18" t="s">
        <v>48</v>
      </c>
      <c r="S53" s="18" t="s">
        <v>49</v>
      </c>
      <c r="T53" s="18" t="s">
        <v>384</v>
      </c>
      <c r="U53" s="18">
        <v>10880.31</v>
      </c>
      <c r="V53" s="18">
        <v>1.11446226E8</v>
      </c>
      <c r="W53" s="18">
        <v>3.34338678E10</v>
      </c>
      <c r="X53" s="18" t="s">
        <v>385</v>
      </c>
      <c r="Y53" s="18" t="s">
        <v>39</v>
      </c>
      <c r="Z53" s="18" t="s">
        <v>40</v>
      </c>
      <c r="AA53" s="18" t="s">
        <v>52</v>
      </c>
    </row>
    <row r="54" ht="15.75" customHeight="1">
      <c r="A54" s="9" t="s">
        <v>386</v>
      </c>
      <c r="B54" s="10" t="s">
        <v>387</v>
      </c>
      <c r="C54" s="10" t="s">
        <v>280</v>
      </c>
      <c r="D54" s="10" t="s">
        <v>280</v>
      </c>
      <c r="E54" s="11">
        <v>30.229941257123556</v>
      </c>
      <c r="F54" s="12">
        <v>54.82926366455952</v>
      </c>
      <c r="G54" s="13">
        <v>34.0441314666837</v>
      </c>
      <c r="H54" s="14">
        <v>27.6134657858142</v>
      </c>
      <c r="I54" s="13">
        <f t="shared" ref="I54:J54" si="53">(100-E54)/100*783.509981/G54</f>
        <v>16.05725717</v>
      </c>
      <c r="J54" s="14">
        <f t="shared" si="53"/>
        <v>12.81683474</v>
      </c>
      <c r="K54" s="15">
        <v>47.03998875</v>
      </c>
      <c r="L54" s="16" t="s">
        <v>30</v>
      </c>
      <c r="M54" s="21" t="s">
        <v>388</v>
      </c>
      <c r="N54" s="18" t="s">
        <v>389</v>
      </c>
      <c r="O54" s="18" t="s">
        <v>46</v>
      </c>
      <c r="P54" s="18" t="s">
        <v>33</v>
      </c>
      <c r="Q54" s="18" t="s">
        <v>47</v>
      </c>
      <c r="R54" s="18" t="s">
        <v>390</v>
      </c>
      <c r="S54" s="18" t="s">
        <v>391</v>
      </c>
      <c r="T54" s="18" t="s">
        <v>392</v>
      </c>
      <c r="U54" s="18">
        <v>11769.91</v>
      </c>
      <c r="V54" s="18">
        <v>1.2543997E8</v>
      </c>
      <c r="W54" s="18">
        <v>3.7631991E10</v>
      </c>
      <c r="X54" s="18" t="s">
        <v>393</v>
      </c>
      <c r="Y54" s="18" t="s">
        <v>39</v>
      </c>
      <c r="Z54" s="18" t="s">
        <v>40</v>
      </c>
      <c r="AA54" s="18" t="s">
        <v>52</v>
      </c>
    </row>
    <row r="55" ht="15.75" customHeight="1">
      <c r="A55" s="9" t="s">
        <v>394</v>
      </c>
      <c r="B55" s="10" t="s">
        <v>395</v>
      </c>
      <c r="C55" s="10" t="s">
        <v>280</v>
      </c>
      <c r="D55" s="10" t="s">
        <v>280</v>
      </c>
      <c r="E55" s="11">
        <v>35.90333828816917</v>
      </c>
      <c r="F55" s="12">
        <v>58.08709106375576</v>
      </c>
      <c r="G55" s="13">
        <v>53.1055673568197</v>
      </c>
      <c r="H55" s="14">
        <v>37.7457681833558</v>
      </c>
      <c r="I55" s="13">
        <f t="shared" ref="I55:J55" si="54">(100-E55)/100*783.509981/G55</f>
        <v>9.456706086</v>
      </c>
      <c r="J55" s="14">
        <f t="shared" si="54"/>
        <v>8.700096478</v>
      </c>
      <c r="K55" s="15">
        <v>147.63721641</v>
      </c>
      <c r="L55" s="16" t="s">
        <v>30</v>
      </c>
      <c r="M55" s="21" t="s">
        <v>396</v>
      </c>
      <c r="N55" s="18" t="s">
        <v>397</v>
      </c>
      <c r="O55" s="18" t="s">
        <v>398</v>
      </c>
      <c r="P55" s="18" t="s">
        <v>33</v>
      </c>
      <c r="Q55" s="18" t="s">
        <v>399</v>
      </c>
      <c r="R55" s="18" t="s">
        <v>400</v>
      </c>
      <c r="S55" s="18" t="s">
        <v>401</v>
      </c>
      <c r="T55" s="18" t="s">
        <v>402</v>
      </c>
      <c r="U55" s="18">
        <v>37473.94</v>
      </c>
      <c r="V55" s="18">
        <v>3.91091964E8</v>
      </c>
      <c r="W55" s="18">
        <v>1.18109773128E11</v>
      </c>
      <c r="X55" s="18" t="s">
        <v>403</v>
      </c>
      <c r="Y55" s="18" t="s">
        <v>39</v>
      </c>
      <c r="Z55" s="18" t="s">
        <v>40</v>
      </c>
      <c r="AA55" s="18" t="s">
        <v>404</v>
      </c>
    </row>
    <row r="56" ht="15.75" customHeight="1">
      <c r="A56" s="9" t="s">
        <v>405</v>
      </c>
      <c r="B56" s="10" t="s">
        <v>406</v>
      </c>
      <c r="C56" s="10" t="s">
        <v>280</v>
      </c>
      <c r="D56" s="10" t="s">
        <v>280</v>
      </c>
      <c r="E56" s="11">
        <v>30.367899423096176</v>
      </c>
      <c r="F56" s="12">
        <v>56.933889355621815</v>
      </c>
      <c r="G56" s="13">
        <v>29.1530317284236</v>
      </c>
      <c r="H56" s="14">
        <v>22.6232231473116</v>
      </c>
      <c r="I56" s="13">
        <f t="shared" ref="I56:J56" si="55">(100-E56)/100*783.509981/G56</f>
        <v>18.71415855</v>
      </c>
      <c r="J56" s="14">
        <f t="shared" si="55"/>
        <v>14.91508408</v>
      </c>
      <c r="K56" s="15">
        <v>38.374294125</v>
      </c>
      <c r="L56" s="16" t="s">
        <v>30</v>
      </c>
      <c r="M56" s="21" t="s">
        <v>407</v>
      </c>
      <c r="N56" s="18" t="s">
        <v>408</v>
      </c>
      <c r="O56" s="18" t="s">
        <v>46</v>
      </c>
      <c r="P56" s="18" t="s">
        <v>33</v>
      </c>
      <c r="Q56" s="18" t="s">
        <v>47</v>
      </c>
      <c r="R56" s="18" t="s">
        <v>48</v>
      </c>
      <c r="S56" s="18" t="s">
        <v>49</v>
      </c>
      <c r="T56" s="18" t="s">
        <v>409</v>
      </c>
      <c r="U56" s="18">
        <v>9985.43</v>
      </c>
      <c r="V56" s="18">
        <v>1.02331451E8</v>
      </c>
      <c r="W56" s="18">
        <v>3.06994353E10</v>
      </c>
      <c r="X56" s="18" t="s">
        <v>410</v>
      </c>
      <c r="Y56" s="18" t="s">
        <v>39</v>
      </c>
      <c r="Z56" s="18" t="s">
        <v>40</v>
      </c>
      <c r="AA56" s="18" t="s">
        <v>52</v>
      </c>
    </row>
    <row r="57" ht="15.75" customHeight="1">
      <c r="A57" s="9" t="s">
        <v>411</v>
      </c>
      <c r="B57" s="10" t="s">
        <v>412</v>
      </c>
      <c r="C57" s="10" t="s">
        <v>280</v>
      </c>
      <c r="D57" s="10" t="s">
        <v>280</v>
      </c>
      <c r="E57" s="11">
        <v>33.20034553586625</v>
      </c>
      <c r="F57" s="12">
        <v>57.46447250951798</v>
      </c>
      <c r="G57" s="13">
        <v>25.0742068372904</v>
      </c>
      <c r="H57" s="14">
        <v>20.4340786801965</v>
      </c>
      <c r="I57" s="13">
        <f t="shared" ref="I57:J57" si="56">(100-E57)/100*783.509981/G57</f>
        <v>20.87332068</v>
      </c>
      <c r="J57" s="14">
        <f t="shared" si="56"/>
        <v>16.30952433</v>
      </c>
      <c r="K57" s="15">
        <v>33.8857215</v>
      </c>
      <c r="L57" s="16" t="s">
        <v>30</v>
      </c>
      <c r="M57" s="21" t="s">
        <v>413</v>
      </c>
      <c r="N57" s="18" t="s">
        <v>414</v>
      </c>
      <c r="O57" s="18" t="s">
        <v>46</v>
      </c>
      <c r="P57" s="18" t="s">
        <v>33</v>
      </c>
      <c r="Q57" s="18" t="s">
        <v>47</v>
      </c>
      <c r="R57" s="18" t="s">
        <v>48</v>
      </c>
      <c r="S57" s="18" t="s">
        <v>49</v>
      </c>
      <c r="T57" s="18" t="s">
        <v>415</v>
      </c>
      <c r="U57" s="18">
        <v>10528.98</v>
      </c>
      <c r="V57" s="18">
        <v>9.0361924E7</v>
      </c>
      <c r="W57" s="18">
        <v>2.71085772E10</v>
      </c>
      <c r="X57" s="18" t="s">
        <v>416</v>
      </c>
      <c r="Y57" s="18" t="s">
        <v>39</v>
      </c>
      <c r="Z57" s="18" t="s">
        <v>40</v>
      </c>
      <c r="AA57" s="18" t="s">
        <v>52</v>
      </c>
    </row>
    <row r="58" ht="15.75" customHeight="1">
      <c r="A58" s="9" t="s">
        <v>417</v>
      </c>
      <c r="B58" s="10" t="s">
        <v>418</v>
      </c>
      <c r="C58" s="10" t="s">
        <v>280</v>
      </c>
      <c r="D58" s="10" t="s">
        <v>280</v>
      </c>
      <c r="E58" s="11">
        <v>30.295291413779708</v>
      </c>
      <c r="F58" s="12">
        <v>54.742210941763716</v>
      </c>
      <c r="G58" s="13">
        <v>34.4724251310733</v>
      </c>
      <c r="H58" s="14">
        <v>27.9147150712173</v>
      </c>
      <c r="I58" s="13">
        <f t="shared" ref="I58:J58" si="57">(100-E58)/100*783.509981/G58</f>
        <v>15.84290478</v>
      </c>
      <c r="J58" s="14">
        <f t="shared" si="57"/>
        <v>12.70295232</v>
      </c>
      <c r="K58" s="15">
        <v>44.477137875</v>
      </c>
      <c r="L58" s="16" t="s">
        <v>30</v>
      </c>
      <c r="M58" s="21" t="s">
        <v>419</v>
      </c>
      <c r="N58" s="18" t="s">
        <v>420</v>
      </c>
      <c r="O58" s="18" t="s">
        <v>46</v>
      </c>
      <c r="P58" s="18" t="s">
        <v>33</v>
      </c>
      <c r="Q58" s="18" t="s">
        <v>47</v>
      </c>
      <c r="R58" s="18" t="s">
        <v>390</v>
      </c>
      <c r="S58" s="18" t="s">
        <v>391</v>
      </c>
      <c r="T58" s="18" t="s">
        <v>421</v>
      </c>
      <c r="U58" s="18">
        <v>11372.5</v>
      </c>
      <c r="V58" s="18">
        <v>1.18605701E8</v>
      </c>
      <c r="W58" s="18">
        <v>3.55817103E10</v>
      </c>
      <c r="X58" s="18" t="s">
        <v>303</v>
      </c>
      <c r="Y58" s="18" t="s">
        <v>39</v>
      </c>
      <c r="Z58" s="18" t="s">
        <v>40</v>
      </c>
      <c r="AA58" s="18" t="s">
        <v>52</v>
      </c>
    </row>
    <row r="59" ht="15.75" customHeight="1">
      <c r="A59" s="9" t="s">
        <v>422</v>
      </c>
      <c r="B59" s="10" t="s">
        <v>423</v>
      </c>
      <c r="C59" s="10" t="s">
        <v>280</v>
      </c>
      <c r="D59" s="10" t="s">
        <v>280</v>
      </c>
      <c r="E59" s="11">
        <v>41.848668804641555</v>
      </c>
      <c r="F59" s="12">
        <v>63.17768897759872</v>
      </c>
      <c r="G59" s="13">
        <v>26.2699553279239</v>
      </c>
      <c r="H59" s="14">
        <v>19.7396353532074</v>
      </c>
      <c r="I59" s="13">
        <f t="shared" ref="I59:J59" si="58">(100-E59)/100*783.509981/G59</f>
        <v>17.34382409</v>
      </c>
      <c r="J59" s="14">
        <f t="shared" si="58"/>
        <v>14.61559329</v>
      </c>
      <c r="K59" s="15">
        <v>43.1113139425</v>
      </c>
      <c r="L59" s="16" t="s">
        <v>30</v>
      </c>
      <c r="M59" s="21" t="s">
        <v>424</v>
      </c>
      <c r="N59" s="18" t="s">
        <v>425</v>
      </c>
      <c r="O59" s="18" t="s">
        <v>426</v>
      </c>
      <c r="P59" s="18" t="s">
        <v>427</v>
      </c>
      <c r="Q59" s="18" t="s">
        <v>428</v>
      </c>
      <c r="R59" s="18" t="s">
        <v>429</v>
      </c>
      <c r="S59" s="18" t="s">
        <v>430</v>
      </c>
      <c r="T59" s="18" t="s">
        <v>431</v>
      </c>
      <c r="U59" s="18">
        <v>14461.27</v>
      </c>
      <c r="V59" s="18">
        <v>1.70737877E8</v>
      </c>
      <c r="W59" s="18">
        <v>3.4489051154E10</v>
      </c>
      <c r="X59" s="18" t="s">
        <v>432</v>
      </c>
      <c r="Y59" s="18" t="s">
        <v>39</v>
      </c>
      <c r="Z59" s="18" t="s">
        <v>40</v>
      </c>
      <c r="AA59" s="18" t="s">
        <v>41</v>
      </c>
    </row>
    <row r="60" ht="15.75" customHeight="1">
      <c r="A60" s="41" t="s">
        <v>433</v>
      </c>
      <c r="B60" s="10" t="s">
        <v>434</v>
      </c>
      <c r="C60" s="10" t="s">
        <v>280</v>
      </c>
      <c r="D60" s="10" t="s">
        <v>280</v>
      </c>
      <c r="E60" s="11">
        <v>41.23631195963029</v>
      </c>
      <c r="F60" s="12">
        <v>65.88260626511402</v>
      </c>
      <c r="G60" s="13">
        <v>15.0819358320635</v>
      </c>
      <c r="H60" s="14">
        <v>11.8496636542129</v>
      </c>
      <c r="I60" s="13">
        <f t="shared" ref="I60:J60" si="59">(100-E60)/100*783.509981/G60</f>
        <v>30.52786898</v>
      </c>
      <c r="J60" s="14">
        <f t="shared" si="59"/>
        <v>22.558715</v>
      </c>
      <c r="K60" s="38" t="s">
        <v>364</v>
      </c>
      <c r="L60" s="16" t="s">
        <v>379</v>
      </c>
      <c r="M60" s="39" t="s">
        <v>364</v>
      </c>
    </row>
    <row r="61" ht="15.75" customHeight="1">
      <c r="A61" s="41" t="s">
        <v>435</v>
      </c>
      <c r="B61" s="10" t="s">
        <v>436</v>
      </c>
      <c r="C61" s="10" t="s">
        <v>280</v>
      </c>
      <c r="D61" s="10" t="s">
        <v>280</v>
      </c>
      <c r="E61" s="11">
        <v>44.857638131351386</v>
      </c>
      <c r="F61" s="12">
        <v>68.00867688719056</v>
      </c>
      <c r="G61" s="13">
        <v>13.8812426322692</v>
      </c>
      <c r="H61" s="14">
        <v>11.0540711380456</v>
      </c>
      <c r="I61" s="13">
        <f t="shared" ref="I61:J61" si="60">(100-E61)/100*783.509981/G61</f>
        <v>31.1244404</v>
      </c>
      <c r="J61" s="14">
        <f t="shared" si="60"/>
        <v>22.67537512</v>
      </c>
      <c r="K61" s="38" t="s">
        <v>364</v>
      </c>
      <c r="L61" s="16" t="s">
        <v>379</v>
      </c>
      <c r="M61" s="39" t="s">
        <v>364</v>
      </c>
    </row>
    <row r="62" ht="15.75" customHeight="1">
      <c r="A62" s="41" t="s">
        <v>437</v>
      </c>
      <c r="B62" s="42" t="s">
        <v>438</v>
      </c>
      <c r="C62" s="10" t="s">
        <v>280</v>
      </c>
      <c r="D62" s="10" t="s">
        <v>280</v>
      </c>
      <c r="E62" s="11">
        <v>34.538517895408916</v>
      </c>
      <c r="F62" s="12">
        <v>60.627847295788406</v>
      </c>
      <c r="G62" s="13">
        <v>20.4095422033715</v>
      </c>
      <c r="H62" s="14">
        <v>15.9794873469834</v>
      </c>
      <c r="I62" s="13">
        <f t="shared" ref="I62:J62" si="61">(100-E62)/100*783.509981/G62</f>
        <v>25.13026705</v>
      </c>
      <c r="J62" s="14">
        <f t="shared" si="61"/>
        <v>19.30504649</v>
      </c>
      <c r="K62" s="43" t="s">
        <v>364</v>
      </c>
      <c r="L62" s="16" t="s">
        <v>379</v>
      </c>
      <c r="M62" s="38" t="s">
        <v>364</v>
      </c>
    </row>
    <row r="63" ht="15.75" customHeight="1">
      <c r="A63" s="33" t="s">
        <v>439</v>
      </c>
      <c r="B63" s="10" t="s">
        <v>440</v>
      </c>
      <c r="C63" s="10" t="s">
        <v>280</v>
      </c>
      <c r="D63" s="10" t="s">
        <v>280</v>
      </c>
      <c r="E63" s="11">
        <v>31.599140534752166</v>
      </c>
      <c r="F63" s="12">
        <v>63.34011855013837</v>
      </c>
      <c r="G63" s="13">
        <v>17.608402515992</v>
      </c>
      <c r="H63" s="14">
        <v>13.9822770504072</v>
      </c>
      <c r="I63" s="13">
        <f t="shared" ref="I63:J63" si="62">(100-E63)/100*783.509981/G63</f>
        <v>30.43589903</v>
      </c>
      <c r="J63" s="14">
        <f t="shared" si="62"/>
        <v>20.54270768</v>
      </c>
      <c r="K63" s="38" t="s">
        <v>364</v>
      </c>
      <c r="L63" s="16" t="s">
        <v>379</v>
      </c>
      <c r="M63" s="39" t="s">
        <v>364</v>
      </c>
    </row>
    <row r="64" ht="15.75" customHeight="1">
      <c r="A64" s="9" t="s">
        <v>441</v>
      </c>
      <c r="B64" s="10" t="s">
        <v>442</v>
      </c>
      <c r="C64" s="10" t="s">
        <v>280</v>
      </c>
      <c r="D64" s="10" t="s">
        <v>280</v>
      </c>
      <c r="E64" s="11">
        <v>32.32530320503983</v>
      </c>
      <c r="F64" s="12">
        <v>56.03040679721077</v>
      </c>
      <c r="G64" s="13">
        <v>30.1810442677514</v>
      </c>
      <c r="H64" s="14">
        <v>24.2664950536967</v>
      </c>
      <c r="I64" s="13">
        <f t="shared" ref="I64:J64" si="63">(100-E64)/100*783.509981/G64</f>
        <v>17.56857713</v>
      </c>
      <c r="J64" s="14">
        <f t="shared" si="63"/>
        <v>14.19678246</v>
      </c>
      <c r="K64" s="15">
        <v>39.607968</v>
      </c>
      <c r="L64" s="16" t="s">
        <v>30</v>
      </c>
      <c r="M64" s="23" t="s">
        <v>443</v>
      </c>
      <c r="N64" s="18" t="s">
        <v>444</v>
      </c>
      <c r="O64" s="18" t="s">
        <v>445</v>
      </c>
      <c r="P64" s="18" t="s">
        <v>33</v>
      </c>
      <c r="Q64" s="18" t="s">
        <v>446</v>
      </c>
      <c r="R64" s="18" t="s">
        <v>447</v>
      </c>
      <c r="S64" s="18" t="s">
        <v>448</v>
      </c>
      <c r="T64" s="18" t="s">
        <v>449</v>
      </c>
      <c r="U64" s="18">
        <v>9956.9</v>
      </c>
      <c r="V64" s="18">
        <v>1.05621248E8</v>
      </c>
      <c r="W64" s="18">
        <v>3.16863744E10</v>
      </c>
      <c r="X64" s="18" t="s">
        <v>450</v>
      </c>
      <c r="Y64" s="18" t="s">
        <v>39</v>
      </c>
      <c r="Z64" s="18" t="s">
        <v>40</v>
      </c>
      <c r="AA64" s="18" t="s">
        <v>52</v>
      </c>
    </row>
    <row r="65" ht="15.75" customHeight="1">
      <c r="A65" s="41" t="s">
        <v>451</v>
      </c>
      <c r="B65" s="10" t="s">
        <v>452</v>
      </c>
      <c r="C65" s="10" t="s">
        <v>280</v>
      </c>
      <c r="D65" s="10" t="s">
        <v>280</v>
      </c>
      <c r="E65" s="11">
        <v>34.58814751206086</v>
      </c>
      <c r="F65" s="12">
        <v>62.28395114279509</v>
      </c>
      <c r="G65" s="13">
        <v>18.8304150261166</v>
      </c>
      <c r="H65" s="14">
        <v>14.5571608327574</v>
      </c>
      <c r="I65" s="13">
        <f t="shared" ref="I65:J65" si="64">(100-E65)/100*783.509981/G65</f>
        <v>27.21705243</v>
      </c>
      <c r="J65" s="14">
        <f t="shared" si="64"/>
        <v>20.29990674</v>
      </c>
      <c r="K65" s="38" t="s">
        <v>364</v>
      </c>
      <c r="L65" s="16" t="s">
        <v>379</v>
      </c>
      <c r="M65" s="39" t="s">
        <v>364</v>
      </c>
    </row>
    <row r="66" ht="15.75" customHeight="1">
      <c r="A66" s="41" t="s">
        <v>453</v>
      </c>
      <c r="B66" s="10" t="s">
        <v>454</v>
      </c>
      <c r="C66" s="10" t="s">
        <v>280</v>
      </c>
      <c r="D66" s="10" t="s">
        <v>280</v>
      </c>
      <c r="E66" s="11">
        <v>36.41360019892331</v>
      </c>
      <c r="F66" s="12">
        <v>62.70422916187607</v>
      </c>
      <c r="G66" s="13">
        <v>18.2206267909868</v>
      </c>
      <c r="H66" s="14">
        <v>14.4383869609792</v>
      </c>
      <c r="I66" s="13">
        <f t="shared" ref="I66:J66" si="65">(100-E66)/100*783.509981/G66</f>
        <v>27.34295558</v>
      </c>
      <c r="J66" s="14">
        <f t="shared" si="65"/>
        <v>20.23883193</v>
      </c>
      <c r="K66" s="38" t="s">
        <v>364</v>
      </c>
      <c r="L66" s="16" t="s">
        <v>379</v>
      </c>
      <c r="M66" s="39" t="s">
        <v>364</v>
      </c>
    </row>
    <row r="67" ht="15.75" customHeight="1">
      <c r="A67" s="9" t="s">
        <v>455</v>
      </c>
      <c r="B67" s="25" t="s">
        <v>456</v>
      </c>
      <c r="C67" s="10" t="s">
        <v>280</v>
      </c>
      <c r="D67" s="25" t="s">
        <v>280</v>
      </c>
      <c r="E67" s="11">
        <v>27.99198533758053</v>
      </c>
      <c r="F67" s="12">
        <v>52.44698285958675</v>
      </c>
      <c r="G67" s="13">
        <v>44.0253122668131</v>
      </c>
      <c r="H67" s="14">
        <v>35.9015707197378</v>
      </c>
      <c r="I67" s="13">
        <f t="shared" ref="I67:J67" si="66">(100-E67)/100*783.509981/G67</f>
        <v>12.81512732</v>
      </c>
      <c r="J67" s="14">
        <f t="shared" si="66"/>
        <v>10.37789233</v>
      </c>
      <c r="K67" s="15">
        <v>63.1818733775</v>
      </c>
      <c r="L67" s="16" t="s">
        <v>30</v>
      </c>
      <c r="M67" s="21" t="s">
        <v>457</v>
      </c>
      <c r="N67" s="18" t="s">
        <v>458</v>
      </c>
      <c r="O67" s="18" t="s">
        <v>459</v>
      </c>
      <c r="P67" s="18" t="s">
        <v>427</v>
      </c>
      <c r="Q67" s="18" t="s">
        <v>460</v>
      </c>
      <c r="R67" s="18" t="s">
        <v>461</v>
      </c>
      <c r="S67" s="18" t="s">
        <v>462</v>
      </c>
      <c r="T67" s="18" t="s">
        <v>463</v>
      </c>
      <c r="U67" s="18">
        <v>20106.69</v>
      </c>
      <c r="V67" s="18">
        <v>1.67369201E8</v>
      </c>
      <c r="W67" s="18">
        <v>5.0545498702E10</v>
      </c>
      <c r="X67" s="18" t="s">
        <v>464</v>
      </c>
      <c r="Y67" s="18" t="s">
        <v>39</v>
      </c>
      <c r="Z67" s="18" t="s">
        <v>40</v>
      </c>
      <c r="AA67" s="18" t="s">
        <v>404</v>
      </c>
    </row>
    <row r="68" ht="15.75" customHeight="1">
      <c r="A68" s="41" t="s">
        <v>465</v>
      </c>
      <c r="B68" s="9" t="s">
        <v>466</v>
      </c>
      <c r="C68" s="10" t="s">
        <v>280</v>
      </c>
      <c r="D68" s="10" t="s">
        <v>280</v>
      </c>
      <c r="E68" s="11">
        <v>40.814135589167435</v>
      </c>
      <c r="F68" s="12">
        <v>66.08063437821235</v>
      </c>
      <c r="G68" s="13">
        <v>14.820987744711</v>
      </c>
      <c r="H68" s="14">
        <v>11.6681830622599</v>
      </c>
      <c r="I68" s="13">
        <f t="shared" ref="I68:J68" si="67">(100-E68)/100*783.509981/G68</f>
        <v>31.28854588</v>
      </c>
      <c r="J68" s="14">
        <f t="shared" si="67"/>
        <v>22.77660658</v>
      </c>
      <c r="K68" s="43" t="s">
        <v>364</v>
      </c>
      <c r="L68" s="16" t="s">
        <v>379</v>
      </c>
      <c r="M68" s="38" t="s">
        <v>364</v>
      </c>
    </row>
    <row r="69" ht="15.75" customHeight="1">
      <c r="A69" s="9" t="s">
        <v>467</v>
      </c>
      <c r="B69" s="10" t="s">
        <v>468</v>
      </c>
      <c r="C69" s="10" t="s">
        <v>280</v>
      </c>
      <c r="D69" s="10" t="s">
        <v>280</v>
      </c>
      <c r="E69" s="11">
        <v>28.453983408795906</v>
      </c>
      <c r="F69" s="12">
        <v>53.45362136893395</v>
      </c>
      <c r="G69" s="13">
        <v>39.3584504709707</v>
      </c>
      <c r="H69" s="14">
        <v>31.2344046245567</v>
      </c>
      <c r="I69" s="13">
        <f t="shared" ref="I69:J69" si="68">(100-E69)/100*783.509981/G69</f>
        <v>14.24268929</v>
      </c>
      <c r="J69" s="14">
        <f t="shared" si="68"/>
        <v>11.67608369</v>
      </c>
      <c r="K69" s="15">
        <v>55.54805925</v>
      </c>
      <c r="L69" s="16" t="s">
        <v>30</v>
      </c>
      <c r="M69" s="21" t="s">
        <v>469</v>
      </c>
      <c r="N69" s="18" t="s">
        <v>470</v>
      </c>
      <c r="O69" s="18" t="s">
        <v>46</v>
      </c>
      <c r="P69" s="18" t="s">
        <v>33</v>
      </c>
      <c r="Q69" s="18" t="s">
        <v>47</v>
      </c>
      <c r="R69" s="18" t="s">
        <v>48</v>
      </c>
      <c r="S69" s="18" t="s">
        <v>49</v>
      </c>
      <c r="T69" s="18" t="s">
        <v>471</v>
      </c>
      <c r="U69" s="18">
        <v>13803.68</v>
      </c>
      <c r="V69" s="18">
        <v>1.48128158E8</v>
      </c>
      <c r="W69" s="18">
        <v>4.44384474E10</v>
      </c>
      <c r="X69" s="18" t="s">
        <v>472</v>
      </c>
      <c r="Y69" s="18" t="s">
        <v>39</v>
      </c>
      <c r="Z69" s="18" t="s">
        <v>40</v>
      </c>
      <c r="AA69" s="18" t="s">
        <v>52</v>
      </c>
    </row>
    <row r="70" ht="15.75" customHeight="1">
      <c r="A70" s="9" t="s">
        <v>473</v>
      </c>
      <c r="B70" s="10" t="s">
        <v>474</v>
      </c>
      <c r="C70" s="10" t="s">
        <v>280</v>
      </c>
      <c r="D70" s="10" t="s">
        <v>280</v>
      </c>
      <c r="E70" s="11">
        <v>32.645375068936104</v>
      </c>
      <c r="F70" s="12">
        <v>57.527409387466825</v>
      </c>
      <c r="G70" s="13">
        <v>27.4394394655884</v>
      </c>
      <c r="H70" s="14">
        <v>21.7846632281026</v>
      </c>
      <c r="I70" s="13">
        <f t="shared" ref="I70:J70" si="69">(100-E70)/100*783.509981/G70</f>
        <v>19.23254335</v>
      </c>
      <c r="J70" s="14">
        <f t="shared" si="69"/>
        <v>15.27574621</v>
      </c>
      <c r="K70" s="14">
        <v>36.7439768</v>
      </c>
      <c r="L70" s="16" t="s">
        <v>30</v>
      </c>
      <c r="M70" s="21" t="s">
        <v>475</v>
      </c>
      <c r="N70" s="31" t="s">
        <v>476</v>
      </c>
      <c r="O70" s="31" t="s">
        <v>46</v>
      </c>
      <c r="P70" s="31" t="s">
        <v>33</v>
      </c>
      <c r="Q70" s="31" t="s">
        <v>47</v>
      </c>
      <c r="R70" s="31" t="s">
        <v>48</v>
      </c>
      <c r="S70" s="31" t="s">
        <v>49</v>
      </c>
      <c r="T70" s="31" t="s">
        <v>477</v>
      </c>
      <c r="U70" s="32">
        <v>9623.26</v>
      </c>
      <c r="V70" s="32">
        <v>9.7983938E7</v>
      </c>
      <c r="W70" s="44">
        <v>2.9395E10</v>
      </c>
      <c r="X70" s="31" t="s">
        <v>478</v>
      </c>
      <c r="Y70" s="31" t="s">
        <v>39</v>
      </c>
      <c r="Z70" s="31" t="s">
        <v>40</v>
      </c>
      <c r="AA70" s="31" t="s">
        <v>52</v>
      </c>
    </row>
    <row r="71" ht="15.75" customHeight="1">
      <c r="A71" s="9" t="s">
        <v>479</v>
      </c>
      <c r="B71" s="10" t="s">
        <v>480</v>
      </c>
      <c r="C71" s="10" t="s">
        <v>280</v>
      </c>
      <c r="D71" s="10" t="s">
        <v>280</v>
      </c>
      <c r="E71" s="11">
        <v>32.28227758849698</v>
      </c>
      <c r="F71" s="12">
        <v>58.54532468644603</v>
      </c>
      <c r="G71" s="13">
        <v>24.8997524800476</v>
      </c>
      <c r="H71" s="14">
        <v>19.339982321685</v>
      </c>
      <c r="I71" s="13">
        <f t="shared" ref="I71:J71" si="70">(100-E71)/100*783.509981/G71</f>
        <v>21.30844933</v>
      </c>
      <c r="J71" s="14">
        <f t="shared" si="70"/>
        <v>16.79430277</v>
      </c>
      <c r="K71" s="15">
        <v>31.645529625</v>
      </c>
      <c r="L71" s="16" t="s">
        <v>30</v>
      </c>
      <c r="M71" s="21" t="s">
        <v>481</v>
      </c>
      <c r="N71" s="18" t="s">
        <v>482</v>
      </c>
      <c r="O71" s="18" t="s">
        <v>46</v>
      </c>
      <c r="P71" s="18" t="s">
        <v>33</v>
      </c>
      <c r="Q71" s="18" t="s">
        <v>47</v>
      </c>
      <c r="R71" s="18" t="s">
        <v>48</v>
      </c>
      <c r="S71" s="18" t="s">
        <v>49</v>
      </c>
      <c r="T71" s="18" t="s">
        <v>483</v>
      </c>
      <c r="U71" s="18">
        <v>8289.94</v>
      </c>
      <c r="V71" s="18">
        <v>8.4388079E7</v>
      </c>
      <c r="W71" s="18">
        <v>2.53164237E10</v>
      </c>
      <c r="X71" s="18" t="s">
        <v>484</v>
      </c>
      <c r="Y71" s="18" t="s">
        <v>39</v>
      </c>
      <c r="Z71" s="18" t="s">
        <v>40</v>
      </c>
      <c r="AA71" s="18" t="s">
        <v>52</v>
      </c>
    </row>
    <row r="72" ht="15.75" customHeight="1">
      <c r="A72" s="9" t="s">
        <v>485</v>
      </c>
      <c r="B72" s="10" t="s">
        <v>486</v>
      </c>
      <c r="C72" s="10" t="s">
        <v>280</v>
      </c>
      <c r="D72" s="10" t="s">
        <v>280</v>
      </c>
      <c r="E72" s="11">
        <v>29.457777641252534</v>
      </c>
      <c r="F72" s="12">
        <v>53.96251899368153</v>
      </c>
      <c r="G72" s="13">
        <v>36.4528696831626</v>
      </c>
      <c r="H72" s="14">
        <v>29.2402851150553</v>
      </c>
      <c r="I72" s="13">
        <f t="shared" ref="I72:J72" si="71">(100-E72)/100*783.509981/G72</f>
        <v>15.16219046</v>
      </c>
      <c r="J72" s="14">
        <f t="shared" si="71"/>
        <v>12.33600347</v>
      </c>
      <c r="K72" s="15">
        <v>48.826029375</v>
      </c>
      <c r="L72" s="16" t="s">
        <v>30</v>
      </c>
      <c r="M72" s="20" t="s">
        <v>487</v>
      </c>
      <c r="N72" s="18" t="s">
        <v>488</v>
      </c>
      <c r="O72" s="18" t="s">
        <v>46</v>
      </c>
      <c r="P72" s="18" t="s">
        <v>33</v>
      </c>
      <c r="Q72" s="18" t="s">
        <v>47</v>
      </c>
      <c r="R72" s="18" t="s">
        <v>48</v>
      </c>
      <c r="S72" s="18" t="s">
        <v>49</v>
      </c>
      <c r="T72" s="18" t="s">
        <v>489</v>
      </c>
      <c r="U72" s="18">
        <v>12463.22</v>
      </c>
      <c r="V72" s="18">
        <v>1.30202745E8</v>
      </c>
      <c r="W72" s="18">
        <v>3.90608235E10</v>
      </c>
      <c r="X72" s="18" t="s">
        <v>490</v>
      </c>
      <c r="Y72" s="18" t="s">
        <v>39</v>
      </c>
      <c r="Z72" s="18" t="s">
        <v>40</v>
      </c>
      <c r="AA72" s="18" t="s">
        <v>52</v>
      </c>
    </row>
    <row r="73" ht="15.75" customHeight="1">
      <c r="A73" s="41" t="s">
        <v>491</v>
      </c>
      <c r="B73" s="9" t="s">
        <v>492</v>
      </c>
      <c r="C73" s="10" t="s">
        <v>280</v>
      </c>
      <c r="D73" s="10" t="s">
        <v>280</v>
      </c>
      <c r="E73" s="11">
        <v>46.050671050736746</v>
      </c>
      <c r="F73" s="12">
        <v>68.60244587820466</v>
      </c>
      <c r="G73" s="13">
        <v>13.2327936200506</v>
      </c>
      <c r="H73" s="14">
        <v>10.5058035620106</v>
      </c>
      <c r="I73" s="13">
        <f t="shared" ref="I73:J73" si="72">(100-E73)/100*783.509981/G73</f>
        <v>31.94324563</v>
      </c>
      <c r="J73" s="14">
        <f t="shared" si="72"/>
        <v>23.41591187</v>
      </c>
      <c r="K73" s="43" t="s">
        <v>364</v>
      </c>
      <c r="L73" s="16" t="s">
        <v>379</v>
      </c>
      <c r="M73" s="38" t="s">
        <v>364</v>
      </c>
    </row>
    <row r="74" ht="15.75" customHeight="1">
      <c r="A74" s="41" t="s">
        <v>493</v>
      </c>
      <c r="B74" s="10" t="s">
        <v>494</v>
      </c>
      <c r="C74" s="10" t="s">
        <v>280</v>
      </c>
      <c r="D74" s="10" t="s">
        <v>280</v>
      </c>
      <c r="E74" s="11">
        <v>35.58235756539774</v>
      </c>
      <c r="F74" s="12">
        <v>61.6784623520987</v>
      </c>
      <c r="G74" s="13">
        <v>19.5591684130154</v>
      </c>
      <c r="H74" s="14">
        <v>15.5282156261453</v>
      </c>
      <c r="I74" s="13">
        <f t="shared" ref="I74:J74" si="73">(100-E74)/100*783.509981/G74</f>
        <v>25.80470945</v>
      </c>
      <c r="J74" s="14">
        <f t="shared" si="73"/>
        <v>19.33596748</v>
      </c>
      <c r="K74" s="38" t="s">
        <v>364</v>
      </c>
      <c r="L74" s="16" t="s">
        <v>379</v>
      </c>
      <c r="M74" s="39" t="s">
        <v>364</v>
      </c>
    </row>
    <row r="75" ht="15.75" customHeight="1">
      <c r="A75" s="9" t="s">
        <v>495</v>
      </c>
      <c r="B75" s="10" t="s">
        <v>496</v>
      </c>
      <c r="C75" s="10" t="s">
        <v>280</v>
      </c>
      <c r="D75" s="25" t="s">
        <v>280</v>
      </c>
      <c r="E75" s="11">
        <v>33.348223805205095</v>
      </c>
      <c r="F75" s="12">
        <v>57.811882238863774</v>
      </c>
      <c r="G75" s="13">
        <v>25.0592177710022</v>
      </c>
      <c r="H75" s="14">
        <v>20.6562441440908</v>
      </c>
      <c r="I75" s="13">
        <f t="shared" ref="I75:J75" si="74">(100-E75)/100*783.509981/G75</f>
        <v>20.83956985</v>
      </c>
      <c r="J75" s="14">
        <f t="shared" si="74"/>
        <v>16.00233378</v>
      </c>
      <c r="K75" s="15">
        <v>38.016160875</v>
      </c>
      <c r="L75" s="16" t="s">
        <v>30</v>
      </c>
      <c r="M75" s="21" t="s">
        <v>497</v>
      </c>
      <c r="N75" s="18" t="s">
        <v>498</v>
      </c>
      <c r="O75" s="18" t="s">
        <v>46</v>
      </c>
      <c r="P75" s="18" t="s">
        <v>33</v>
      </c>
      <c r="Q75" s="18" t="s">
        <v>47</v>
      </c>
      <c r="R75" s="18" t="s">
        <v>48</v>
      </c>
      <c r="S75" s="18" t="s">
        <v>49</v>
      </c>
      <c r="T75" s="18" t="s">
        <v>499</v>
      </c>
      <c r="U75" s="18">
        <v>9462.76</v>
      </c>
      <c r="V75" s="18">
        <v>1.01376429E8</v>
      </c>
      <c r="W75" s="18">
        <v>3.04129287E10</v>
      </c>
      <c r="X75" s="18" t="s">
        <v>500</v>
      </c>
      <c r="Y75" s="18" t="s">
        <v>39</v>
      </c>
      <c r="Z75" s="18" t="s">
        <v>40</v>
      </c>
      <c r="AA75" s="18" t="s">
        <v>52</v>
      </c>
    </row>
    <row r="76" ht="15.75" customHeight="1">
      <c r="A76" s="9" t="s">
        <v>501</v>
      </c>
      <c r="B76" s="10" t="s">
        <v>502</v>
      </c>
      <c r="C76" s="10" t="s">
        <v>280</v>
      </c>
      <c r="D76" s="45" t="s">
        <v>503</v>
      </c>
      <c r="E76" s="11">
        <v>34.50120056607166</v>
      </c>
      <c r="F76" s="12">
        <v>56.088733500430735</v>
      </c>
      <c r="G76" s="13">
        <v>30.0575000816599</v>
      </c>
      <c r="H76" s="14">
        <v>24.1010554540327</v>
      </c>
      <c r="I76" s="13">
        <f t="shared" ref="I76:J76" si="75">(100-E76)/100*783.509981/G76</f>
        <v>17.07359659</v>
      </c>
      <c r="J76" s="14">
        <f t="shared" si="75"/>
        <v>14.2752734</v>
      </c>
      <c r="K76" s="15">
        <v>40.603949625</v>
      </c>
      <c r="L76" s="16" t="s">
        <v>30</v>
      </c>
      <c r="M76" s="21" t="s">
        <v>504</v>
      </c>
      <c r="N76" s="18" t="s">
        <v>505</v>
      </c>
      <c r="O76" s="18" t="s">
        <v>46</v>
      </c>
      <c r="P76" s="18" t="s">
        <v>33</v>
      </c>
      <c r="Q76" s="18" t="s">
        <v>47</v>
      </c>
      <c r="R76" s="18" t="s">
        <v>48</v>
      </c>
      <c r="S76" s="18" t="s">
        <v>49</v>
      </c>
      <c r="T76" s="18" t="s">
        <v>506</v>
      </c>
      <c r="U76" s="18">
        <v>10597.82</v>
      </c>
      <c r="V76" s="18">
        <v>1.08277199E8</v>
      </c>
      <c r="W76" s="18">
        <v>3.24831597E10</v>
      </c>
      <c r="X76" s="18" t="s">
        <v>507</v>
      </c>
      <c r="Y76" s="18" t="s">
        <v>39</v>
      </c>
      <c r="Z76" s="18" t="s">
        <v>40</v>
      </c>
      <c r="AA76" s="18" t="s">
        <v>52</v>
      </c>
    </row>
    <row r="77" ht="15.75" customHeight="1">
      <c r="A77" s="9" t="s">
        <v>508</v>
      </c>
      <c r="B77" s="10" t="s">
        <v>509</v>
      </c>
      <c r="C77" s="10" t="s">
        <v>280</v>
      </c>
      <c r="D77" s="45" t="s">
        <v>503</v>
      </c>
      <c r="E77" s="11">
        <v>37.246469359271636</v>
      </c>
      <c r="F77" s="12">
        <v>58.4992012254252</v>
      </c>
      <c r="G77" s="13">
        <v>24.1309916346085</v>
      </c>
      <c r="H77" s="14">
        <v>19.1646376022571</v>
      </c>
      <c r="I77" s="13">
        <f t="shared" ref="I77:J77" si="76">(100-E77)/100*783.509981/G77</f>
        <v>20.37546502</v>
      </c>
      <c r="J77" s="14">
        <f t="shared" si="76"/>
        <v>16.96681708</v>
      </c>
      <c r="K77" s="15">
        <v>31.693834125</v>
      </c>
      <c r="L77" s="16" t="s">
        <v>30</v>
      </c>
      <c r="M77" s="21" t="s">
        <v>510</v>
      </c>
      <c r="N77" s="18" t="s">
        <v>511</v>
      </c>
      <c r="O77" s="18" t="s">
        <v>46</v>
      </c>
      <c r="P77" s="18" t="s">
        <v>33</v>
      </c>
      <c r="Q77" s="18" t="s">
        <v>47</v>
      </c>
      <c r="R77" s="18" t="s">
        <v>48</v>
      </c>
      <c r="S77" s="18" t="s">
        <v>49</v>
      </c>
      <c r="T77" s="18" t="s">
        <v>512</v>
      </c>
      <c r="U77" s="18">
        <v>8081.09</v>
      </c>
      <c r="V77" s="18">
        <v>8.4516891E7</v>
      </c>
      <c r="W77" s="18">
        <v>2.53550673E10</v>
      </c>
      <c r="X77" s="18" t="s">
        <v>513</v>
      </c>
      <c r="Y77" s="18" t="s">
        <v>39</v>
      </c>
      <c r="Z77" s="18" t="s">
        <v>40</v>
      </c>
      <c r="AA77" s="18" t="s">
        <v>52</v>
      </c>
    </row>
    <row r="78" ht="15.75" customHeight="1">
      <c r="A78" s="46"/>
      <c r="C78" s="10"/>
      <c r="D78" s="10"/>
      <c r="E78" s="47"/>
      <c r="F78" s="48"/>
      <c r="G78" s="47"/>
      <c r="H78" s="48"/>
      <c r="I78" s="49"/>
      <c r="J78" s="50"/>
      <c r="K78" s="48"/>
      <c r="L78" s="10"/>
      <c r="M78" s="10"/>
      <c r="AC78" s="40"/>
    </row>
    <row r="79" ht="15.75" customHeight="1">
      <c r="A79" s="46"/>
      <c r="C79" s="10"/>
      <c r="D79" s="10"/>
      <c r="E79" s="51"/>
      <c r="F79" s="48"/>
      <c r="G79" s="47"/>
      <c r="H79" s="48"/>
      <c r="I79" s="49"/>
      <c r="J79" s="50"/>
      <c r="K79" s="48"/>
      <c r="L79" s="10"/>
      <c r="M79" s="10"/>
    </row>
    <row r="80" ht="15.75" customHeight="1">
      <c r="A80" s="46"/>
      <c r="C80" s="10"/>
      <c r="D80" s="10"/>
      <c r="E80" s="51"/>
      <c r="F80" s="48"/>
      <c r="G80" s="47"/>
      <c r="H80" s="48"/>
      <c r="I80" s="49"/>
      <c r="J80" s="50"/>
      <c r="K80" s="48"/>
      <c r="L80" s="10"/>
      <c r="M80" s="10"/>
    </row>
    <row r="81" ht="15.75" customHeight="1">
      <c r="A81" s="46"/>
      <c r="C81" s="10"/>
      <c r="D81" s="10"/>
      <c r="E81" s="51"/>
      <c r="F81" s="48"/>
      <c r="G81" s="47"/>
      <c r="H81" s="48"/>
      <c r="I81" s="49"/>
      <c r="J81" s="50"/>
      <c r="K81" s="48"/>
      <c r="L81" s="10"/>
      <c r="M81" s="10"/>
    </row>
    <row r="82" ht="15.75" customHeight="1">
      <c r="C82" s="10"/>
      <c r="D82" s="10"/>
      <c r="E82" s="51"/>
      <c r="F82" s="48"/>
      <c r="G82" s="47"/>
      <c r="H82" s="48"/>
      <c r="I82" s="49"/>
      <c r="J82" s="50"/>
      <c r="K82" s="48"/>
      <c r="M82" s="10"/>
    </row>
    <row r="83" ht="15.75" customHeight="1">
      <c r="C83" s="10"/>
      <c r="D83" s="10"/>
      <c r="E83" s="51"/>
      <c r="F83" s="48"/>
      <c r="G83" s="47"/>
      <c r="H83" s="48"/>
      <c r="I83" s="49"/>
      <c r="J83" s="50"/>
      <c r="K83" s="48"/>
      <c r="M83" s="10"/>
    </row>
    <row r="84" ht="15.75" customHeight="1">
      <c r="C84" s="10"/>
      <c r="D84" s="10"/>
      <c r="E84" s="51"/>
      <c r="F84" s="48"/>
      <c r="G84" s="47"/>
      <c r="H84" s="48"/>
      <c r="I84" s="49"/>
      <c r="J84" s="50"/>
      <c r="K84" s="48"/>
      <c r="M84" s="10"/>
    </row>
    <row r="85" ht="15.75" customHeight="1">
      <c r="C85" s="10"/>
      <c r="D85" s="10"/>
      <c r="E85" s="51"/>
      <c r="F85" s="48"/>
      <c r="G85" s="47"/>
      <c r="H85" s="48"/>
      <c r="I85" s="49"/>
      <c r="J85" s="50"/>
      <c r="K85" s="48"/>
      <c r="M85" s="10"/>
    </row>
    <row r="86" ht="15.75" customHeight="1">
      <c r="C86" s="10"/>
      <c r="D86" s="10"/>
      <c r="E86" s="51"/>
      <c r="F86" s="48"/>
      <c r="G86" s="47"/>
      <c r="H86" s="48"/>
      <c r="I86" s="49"/>
      <c r="J86" s="50"/>
      <c r="K86" s="48"/>
      <c r="M86" s="10"/>
    </row>
    <row r="87" ht="15.75" customHeight="1">
      <c r="C87" s="10"/>
      <c r="D87" s="10"/>
      <c r="E87" s="51"/>
      <c r="F87" s="10"/>
      <c r="G87" s="52"/>
      <c r="H87" s="10"/>
      <c r="I87" s="53"/>
      <c r="J87" s="54"/>
      <c r="K87" s="10"/>
      <c r="M87" s="10"/>
    </row>
    <row r="88" ht="15.75" customHeight="1">
      <c r="C88" s="10"/>
      <c r="D88" s="10"/>
      <c r="E88" s="51"/>
      <c r="F88" s="10"/>
      <c r="G88" s="52"/>
      <c r="H88" s="10"/>
      <c r="I88" s="53"/>
      <c r="J88" s="54"/>
      <c r="K88" s="10"/>
      <c r="M88" s="10"/>
    </row>
    <row r="89" ht="15.75" customHeight="1">
      <c r="C89" s="10"/>
      <c r="D89" s="10"/>
      <c r="E89" s="51"/>
      <c r="F89" s="10"/>
      <c r="G89" s="52"/>
      <c r="H89" s="10"/>
      <c r="I89" s="53"/>
      <c r="J89" s="54"/>
      <c r="K89" s="10"/>
      <c r="M89" s="10"/>
    </row>
    <row r="90" ht="15.75" customHeight="1">
      <c r="C90" s="10"/>
      <c r="D90" s="10"/>
      <c r="E90" s="51"/>
      <c r="F90" s="10"/>
      <c r="G90" s="52"/>
      <c r="H90" s="10"/>
      <c r="I90" s="53"/>
      <c r="J90" s="54"/>
      <c r="K90" s="10"/>
      <c r="M90" s="10"/>
    </row>
    <row r="91" ht="15.75" customHeight="1">
      <c r="C91" s="10"/>
      <c r="D91" s="10"/>
      <c r="E91" s="51"/>
      <c r="F91" s="10"/>
      <c r="G91" s="52"/>
      <c r="H91" s="10"/>
      <c r="I91" s="53"/>
      <c r="J91" s="54"/>
      <c r="K91" s="10"/>
      <c r="M91" s="10"/>
    </row>
    <row r="92" ht="15.75" customHeight="1">
      <c r="A92" s="46"/>
      <c r="B92" s="10"/>
      <c r="C92" s="10"/>
      <c r="D92" s="10"/>
      <c r="E92" s="51"/>
      <c r="F92" s="10"/>
      <c r="G92" s="52"/>
      <c r="H92" s="10"/>
      <c r="I92" s="53"/>
      <c r="J92" s="54"/>
      <c r="K92" s="10"/>
      <c r="L92" s="10"/>
      <c r="M92" s="10"/>
    </row>
    <row r="93" ht="15.75" customHeight="1">
      <c r="A93" s="46"/>
      <c r="B93" s="10"/>
      <c r="C93" s="10"/>
      <c r="D93" s="10"/>
      <c r="E93" s="51"/>
      <c r="F93" s="10"/>
      <c r="G93" s="52"/>
      <c r="H93" s="10"/>
      <c r="I93" s="53"/>
      <c r="J93" s="54"/>
      <c r="K93" s="10"/>
      <c r="L93" s="10"/>
      <c r="M93" s="10"/>
    </row>
    <row r="94" ht="15.75" customHeight="1">
      <c r="A94" s="46"/>
      <c r="B94" s="10"/>
      <c r="C94" s="10"/>
      <c r="D94" s="10"/>
      <c r="E94" s="51"/>
      <c r="F94" s="10"/>
      <c r="G94" s="52"/>
      <c r="H94" s="10"/>
      <c r="I94" s="53"/>
      <c r="J94" s="54"/>
      <c r="K94" s="10"/>
      <c r="L94" s="10"/>
      <c r="M94" s="10"/>
    </row>
    <row r="95" ht="15.75" customHeight="1">
      <c r="A95" s="46"/>
      <c r="B95" s="10"/>
      <c r="C95" s="10"/>
      <c r="D95" s="10"/>
      <c r="E95" s="51"/>
      <c r="F95" s="10"/>
      <c r="G95" s="52"/>
      <c r="H95" s="10"/>
      <c r="I95" s="53"/>
      <c r="J95" s="54"/>
      <c r="K95" s="10"/>
      <c r="L95" s="10"/>
      <c r="M95" s="10"/>
    </row>
    <row r="96" ht="15.75" customHeight="1">
      <c r="A96" s="46"/>
      <c r="B96" s="10"/>
      <c r="C96" s="10"/>
      <c r="D96" s="10"/>
      <c r="E96" s="51"/>
      <c r="F96" s="10"/>
      <c r="G96" s="52"/>
      <c r="H96" s="10"/>
      <c r="I96" s="53"/>
      <c r="J96" s="54"/>
      <c r="K96" s="10"/>
      <c r="L96" s="10"/>
      <c r="M96" s="10"/>
    </row>
    <row r="97" ht="15.75" customHeight="1">
      <c r="A97" s="46"/>
      <c r="B97" s="10"/>
      <c r="C97" s="10"/>
      <c r="D97" s="10"/>
      <c r="E97" s="51"/>
      <c r="F97" s="10"/>
      <c r="G97" s="52"/>
      <c r="H97" s="10"/>
      <c r="I97" s="53"/>
      <c r="J97" s="54"/>
      <c r="K97" s="10"/>
      <c r="L97" s="10"/>
      <c r="M97" s="10"/>
    </row>
    <row r="98" ht="15.75" customHeight="1">
      <c r="A98" s="46"/>
      <c r="B98" s="10"/>
      <c r="C98" s="10"/>
      <c r="D98" s="10"/>
      <c r="E98" s="51"/>
      <c r="F98" s="10"/>
      <c r="G98" s="52"/>
      <c r="H98" s="10"/>
      <c r="I98" s="53"/>
      <c r="J98" s="54"/>
      <c r="K98" s="10"/>
      <c r="L98" s="10"/>
      <c r="M98" s="10"/>
    </row>
    <row r="99" ht="15.75" customHeight="1">
      <c r="A99" s="46"/>
      <c r="B99" s="10"/>
      <c r="C99" s="10"/>
      <c r="D99" s="10"/>
      <c r="E99" s="51"/>
      <c r="F99" s="10"/>
      <c r="G99" s="52"/>
      <c r="H99" s="10"/>
      <c r="I99" s="53"/>
      <c r="J99" s="54"/>
      <c r="K99" s="10"/>
      <c r="L99" s="10"/>
      <c r="M99" s="10"/>
    </row>
    <row r="100" ht="15.75" customHeight="1">
      <c r="A100" s="46"/>
      <c r="B100" s="10"/>
      <c r="C100" s="10"/>
      <c r="D100" s="10"/>
      <c r="E100" s="51"/>
      <c r="F100" s="10"/>
      <c r="G100" s="52"/>
      <c r="H100" s="10"/>
      <c r="I100" s="53"/>
      <c r="J100" s="54"/>
      <c r="K100" s="10"/>
      <c r="L100" s="10"/>
      <c r="M100" s="10"/>
    </row>
    <row r="101" ht="15.75" customHeight="1">
      <c r="A101" s="46"/>
      <c r="B101" s="10"/>
      <c r="C101" s="10"/>
      <c r="D101" s="10"/>
      <c r="E101" s="51"/>
      <c r="F101" s="10"/>
      <c r="G101" s="52"/>
      <c r="H101" s="10"/>
      <c r="I101" s="53"/>
      <c r="J101" s="54"/>
      <c r="K101" s="10"/>
      <c r="L101" s="10"/>
      <c r="M101" s="10"/>
    </row>
    <row r="102" ht="15.75" customHeight="1">
      <c r="A102" s="46"/>
      <c r="B102" s="10"/>
      <c r="C102" s="10"/>
      <c r="D102" s="10"/>
      <c r="E102" s="51"/>
      <c r="F102" s="10"/>
      <c r="G102" s="52"/>
      <c r="H102" s="10"/>
      <c r="I102" s="53"/>
      <c r="J102" s="54"/>
      <c r="K102" s="10"/>
      <c r="L102" s="10"/>
      <c r="M102" s="10"/>
    </row>
    <row r="103" ht="15.75" customHeight="1">
      <c r="A103" s="46"/>
      <c r="B103" s="10"/>
      <c r="C103" s="10"/>
      <c r="D103" s="10"/>
      <c r="E103" s="51"/>
      <c r="F103" s="10"/>
      <c r="G103" s="52"/>
      <c r="H103" s="10"/>
      <c r="I103" s="53"/>
      <c r="J103" s="54"/>
      <c r="K103" s="10"/>
      <c r="L103" s="10"/>
      <c r="M103" s="10"/>
    </row>
    <row r="104" ht="15.75" customHeight="1">
      <c r="A104" s="46"/>
      <c r="B104" s="10"/>
      <c r="C104" s="10"/>
      <c r="D104" s="10"/>
      <c r="E104" s="51"/>
      <c r="F104" s="10"/>
      <c r="G104" s="52"/>
      <c r="H104" s="10"/>
      <c r="I104" s="53"/>
      <c r="J104" s="54"/>
      <c r="K104" s="10"/>
      <c r="L104" s="10"/>
      <c r="M104" s="10"/>
    </row>
    <row r="105" ht="15.75" customHeight="1">
      <c r="A105" s="46"/>
      <c r="B105" s="10"/>
      <c r="C105" s="10"/>
      <c r="D105" s="10"/>
      <c r="E105" s="51"/>
      <c r="F105" s="10"/>
      <c r="G105" s="52"/>
      <c r="H105" s="10"/>
      <c r="I105" s="53"/>
      <c r="J105" s="54"/>
      <c r="K105" s="10"/>
      <c r="L105" s="10"/>
      <c r="M105" s="10"/>
    </row>
    <row r="106" ht="15.75" customHeight="1">
      <c r="A106" s="46"/>
      <c r="B106" s="10"/>
      <c r="C106" s="10"/>
      <c r="D106" s="10"/>
      <c r="E106" s="51"/>
      <c r="F106" s="10"/>
      <c r="G106" s="52"/>
      <c r="H106" s="10"/>
      <c r="I106" s="53"/>
      <c r="J106" s="54"/>
      <c r="K106" s="10"/>
      <c r="L106" s="10"/>
      <c r="M106" s="10"/>
    </row>
    <row r="107" ht="15.75" customHeight="1">
      <c r="A107" s="46"/>
      <c r="B107" s="10"/>
      <c r="C107" s="10"/>
      <c r="D107" s="10"/>
      <c r="E107" s="51"/>
      <c r="F107" s="10"/>
      <c r="G107" s="52"/>
      <c r="H107" s="10"/>
      <c r="I107" s="53"/>
      <c r="J107" s="54"/>
      <c r="K107" s="10"/>
      <c r="L107" s="10"/>
      <c r="M107" s="10"/>
    </row>
    <row r="108" ht="15.75" customHeight="1">
      <c r="A108" s="46"/>
      <c r="B108" s="10"/>
      <c r="C108" s="10"/>
      <c r="D108" s="10"/>
      <c r="E108" s="51"/>
      <c r="F108" s="10"/>
      <c r="G108" s="52"/>
      <c r="H108" s="10"/>
      <c r="I108" s="53"/>
      <c r="J108" s="54"/>
      <c r="K108" s="10"/>
      <c r="L108" s="10"/>
      <c r="M108" s="10"/>
    </row>
    <row r="109" ht="15.75" customHeight="1">
      <c r="A109" s="46"/>
      <c r="B109" s="10"/>
      <c r="C109" s="10"/>
      <c r="D109" s="10"/>
      <c r="E109" s="51"/>
      <c r="F109" s="10"/>
      <c r="G109" s="52"/>
      <c r="H109" s="10"/>
      <c r="I109" s="53"/>
      <c r="J109" s="54"/>
      <c r="K109" s="10"/>
      <c r="L109" s="10"/>
      <c r="M109" s="10"/>
    </row>
    <row r="110" ht="15.75" customHeight="1">
      <c r="A110" s="46"/>
      <c r="B110" s="10"/>
      <c r="C110" s="10"/>
      <c r="D110" s="10"/>
      <c r="E110" s="51"/>
      <c r="F110" s="10"/>
      <c r="G110" s="52"/>
      <c r="H110" s="10"/>
      <c r="I110" s="53"/>
      <c r="J110" s="54"/>
      <c r="K110" s="10"/>
      <c r="L110" s="10"/>
      <c r="M110" s="10"/>
    </row>
    <row r="111" ht="15.75" customHeight="1">
      <c r="A111" s="46"/>
      <c r="B111" s="10"/>
      <c r="C111" s="10"/>
      <c r="D111" s="10"/>
      <c r="E111" s="51"/>
      <c r="F111" s="10"/>
      <c r="G111" s="52"/>
      <c r="H111" s="10"/>
      <c r="I111" s="53"/>
      <c r="J111" s="54"/>
      <c r="K111" s="10"/>
      <c r="L111" s="10"/>
      <c r="M111" s="10"/>
    </row>
    <row r="112" ht="15.75" customHeight="1">
      <c r="A112" s="46"/>
      <c r="B112" s="10"/>
      <c r="C112" s="10"/>
      <c r="D112" s="10"/>
      <c r="E112" s="51"/>
      <c r="F112" s="10"/>
      <c r="G112" s="52"/>
      <c r="H112" s="10"/>
      <c r="I112" s="53"/>
      <c r="J112" s="54"/>
      <c r="K112" s="10"/>
      <c r="L112" s="10"/>
      <c r="M112" s="10"/>
    </row>
    <row r="113" ht="15.75" customHeight="1">
      <c r="A113" s="46"/>
      <c r="B113" s="10"/>
      <c r="C113" s="10"/>
      <c r="D113" s="10"/>
      <c r="E113" s="51"/>
      <c r="F113" s="10"/>
      <c r="G113" s="52"/>
      <c r="H113" s="10"/>
      <c r="I113" s="53"/>
      <c r="J113" s="54"/>
      <c r="K113" s="10"/>
      <c r="L113" s="10"/>
      <c r="M113" s="10"/>
    </row>
    <row r="114" ht="15.75" customHeight="1">
      <c r="A114" s="46"/>
      <c r="B114" s="10"/>
      <c r="C114" s="10"/>
      <c r="D114" s="10"/>
      <c r="E114" s="51"/>
      <c r="F114" s="10"/>
      <c r="G114" s="52"/>
      <c r="H114" s="10"/>
      <c r="I114" s="53"/>
      <c r="J114" s="54"/>
      <c r="K114" s="10"/>
      <c r="L114" s="10"/>
      <c r="M114" s="10"/>
    </row>
    <row r="115" ht="15.75" customHeight="1">
      <c r="A115" s="46"/>
      <c r="B115" s="10"/>
      <c r="C115" s="10"/>
      <c r="D115" s="10"/>
      <c r="E115" s="51"/>
      <c r="F115" s="10"/>
      <c r="G115" s="52"/>
      <c r="H115" s="10"/>
      <c r="I115" s="53"/>
      <c r="J115" s="54"/>
      <c r="K115" s="10"/>
      <c r="L115" s="10"/>
      <c r="M115" s="10"/>
    </row>
    <row r="116" ht="15.75" customHeight="1">
      <c r="A116" s="46"/>
      <c r="B116" s="10"/>
      <c r="C116" s="10"/>
      <c r="D116" s="10"/>
      <c r="E116" s="51"/>
      <c r="F116" s="10"/>
      <c r="G116" s="52"/>
      <c r="H116" s="10"/>
      <c r="I116" s="53"/>
      <c r="J116" s="54"/>
      <c r="K116" s="10"/>
      <c r="L116" s="10"/>
      <c r="M116" s="10"/>
    </row>
    <row r="117" ht="15.75" customHeight="1">
      <c r="A117" s="46"/>
      <c r="B117" s="10"/>
      <c r="C117" s="10"/>
      <c r="D117" s="10"/>
      <c r="E117" s="51"/>
      <c r="F117" s="10"/>
      <c r="G117" s="52"/>
      <c r="H117" s="10"/>
      <c r="I117" s="53"/>
      <c r="J117" s="54"/>
      <c r="K117" s="10"/>
      <c r="L117" s="10"/>
      <c r="M117" s="10"/>
    </row>
    <row r="118" ht="15.75" customHeight="1">
      <c r="A118" s="46"/>
      <c r="B118" s="10"/>
      <c r="C118" s="10"/>
      <c r="D118" s="10"/>
      <c r="E118" s="51"/>
      <c r="F118" s="10"/>
      <c r="G118" s="52"/>
      <c r="H118" s="10"/>
      <c r="I118" s="53"/>
      <c r="J118" s="54"/>
      <c r="K118" s="10"/>
      <c r="L118" s="10"/>
      <c r="M118" s="10"/>
    </row>
    <row r="119" ht="15.75" customHeight="1">
      <c r="A119" s="46"/>
      <c r="B119" s="10"/>
      <c r="C119" s="10"/>
      <c r="D119" s="10"/>
      <c r="E119" s="51"/>
      <c r="F119" s="10"/>
      <c r="G119" s="52"/>
      <c r="H119" s="10"/>
      <c r="I119" s="53"/>
      <c r="J119" s="54"/>
      <c r="K119" s="10"/>
      <c r="L119" s="10"/>
      <c r="M119" s="10"/>
    </row>
    <row r="120" ht="15.75" customHeight="1">
      <c r="A120" s="46"/>
      <c r="B120" s="10"/>
      <c r="C120" s="10"/>
      <c r="D120" s="10"/>
      <c r="E120" s="51"/>
      <c r="F120" s="10"/>
      <c r="G120" s="52"/>
      <c r="H120" s="10"/>
      <c r="I120" s="53"/>
      <c r="J120" s="54"/>
      <c r="K120" s="10"/>
      <c r="L120" s="10"/>
      <c r="M120" s="10"/>
    </row>
    <row r="121" ht="15.75" customHeight="1">
      <c r="A121" s="46"/>
      <c r="B121" s="10"/>
      <c r="C121" s="10"/>
      <c r="D121" s="10"/>
      <c r="E121" s="51"/>
      <c r="F121" s="10"/>
      <c r="G121" s="52"/>
      <c r="H121" s="10"/>
      <c r="I121" s="53"/>
      <c r="J121" s="54"/>
      <c r="K121" s="10"/>
      <c r="L121" s="10"/>
      <c r="M121" s="10"/>
    </row>
    <row r="122" ht="15.75" customHeight="1">
      <c r="A122" s="46"/>
      <c r="B122" s="10"/>
      <c r="C122" s="10"/>
      <c r="D122" s="10"/>
      <c r="E122" s="51"/>
      <c r="F122" s="10"/>
      <c r="G122" s="52"/>
      <c r="H122" s="10"/>
      <c r="I122" s="53"/>
      <c r="J122" s="54"/>
      <c r="K122" s="10"/>
      <c r="L122" s="10"/>
      <c r="M122" s="10"/>
    </row>
    <row r="123" ht="15.75" customHeight="1">
      <c r="A123" s="46"/>
      <c r="B123" s="10"/>
      <c r="C123" s="10"/>
      <c r="D123" s="10"/>
      <c r="E123" s="51"/>
      <c r="F123" s="10"/>
      <c r="G123" s="52"/>
      <c r="H123" s="10"/>
      <c r="I123" s="53"/>
      <c r="J123" s="54"/>
      <c r="K123" s="10"/>
      <c r="L123" s="10"/>
      <c r="M123" s="10"/>
    </row>
    <row r="124" ht="15.75" customHeight="1">
      <c r="A124" s="46"/>
      <c r="B124" s="10"/>
      <c r="C124" s="10"/>
      <c r="D124" s="10"/>
      <c r="E124" s="51"/>
      <c r="F124" s="10"/>
      <c r="G124" s="52"/>
      <c r="H124" s="10"/>
      <c r="I124" s="53"/>
      <c r="J124" s="54"/>
      <c r="K124" s="10"/>
      <c r="L124" s="10"/>
      <c r="M124" s="10"/>
      <c r="X124" s="34"/>
    </row>
    <row r="125" ht="15.75" customHeight="1">
      <c r="A125" s="46"/>
      <c r="B125" s="10"/>
      <c r="C125" s="10"/>
      <c r="D125" s="10"/>
      <c r="E125" s="51"/>
      <c r="F125" s="10"/>
      <c r="G125" s="52"/>
      <c r="H125" s="10"/>
      <c r="I125" s="53"/>
      <c r="J125" s="54"/>
      <c r="K125" s="10"/>
      <c r="L125" s="10"/>
      <c r="M125" s="10"/>
      <c r="X125" s="34"/>
    </row>
    <row r="126" ht="15.75" customHeight="1">
      <c r="A126" s="46"/>
      <c r="B126" s="10"/>
      <c r="C126" s="10"/>
      <c r="D126" s="10"/>
      <c r="E126" s="51"/>
      <c r="F126" s="10"/>
      <c r="G126" s="52"/>
      <c r="H126" s="10"/>
      <c r="I126" s="53"/>
      <c r="J126" s="54"/>
      <c r="K126" s="10"/>
      <c r="L126" s="10"/>
      <c r="M126" s="10"/>
    </row>
    <row r="127" ht="15.75" customHeight="1">
      <c r="A127" s="46"/>
      <c r="B127" s="10"/>
      <c r="C127" s="10"/>
      <c r="D127" s="10"/>
      <c r="E127" s="51"/>
      <c r="F127" s="10"/>
      <c r="G127" s="52"/>
      <c r="H127" s="10"/>
      <c r="I127" s="53"/>
      <c r="J127" s="54"/>
      <c r="K127" s="10"/>
      <c r="L127" s="10"/>
      <c r="M127" s="10"/>
    </row>
    <row r="128" ht="15.75" customHeight="1">
      <c r="A128" s="46"/>
      <c r="B128" s="10"/>
      <c r="C128" s="10"/>
      <c r="D128" s="10"/>
      <c r="E128" s="51"/>
      <c r="F128" s="10"/>
      <c r="G128" s="52"/>
      <c r="H128" s="10"/>
      <c r="I128" s="53"/>
      <c r="J128" s="54"/>
      <c r="K128" s="10"/>
      <c r="L128" s="10"/>
      <c r="M128" s="10"/>
      <c r="X128" s="34"/>
    </row>
    <row r="129" ht="15.75" customHeight="1">
      <c r="A129" s="46"/>
      <c r="B129" s="10"/>
      <c r="C129" s="10"/>
      <c r="D129" s="10"/>
      <c r="E129" s="51"/>
      <c r="F129" s="10"/>
      <c r="G129" s="52"/>
      <c r="H129" s="10"/>
      <c r="I129" s="53"/>
      <c r="J129" s="54"/>
      <c r="K129" s="10"/>
      <c r="L129" s="10"/>
      <c r="M129" s="10"/>
    </row>
    <row r="130" ht="15.75" customHeight="1">
      <c r="A130" s="46"/>
      <c r="B130" s="10"/>
      <c r="C130" s="10"/>
      <c r="D130" s="10"/>
      <c r="E130" s="51"/>
      <c r="F130" s="10"/>
      <c r="G130" s="52"/>
      <c r="H130" s="10"/>
      <c r="I130" s="53"/>
      <c r="J130" s="54"/>
      <c r="K130" s="10"/>
      <c r="L130" s="10"/>
      <c r="M130" s="10"/>
    </row>
    <row r="131" ht="15.75" customHeight="1">
      <c r="A131" s="46"/>
      <c r="B131" s="10"/>
      <c r="C131" s="10"/>
      <c r="D131" s="10"/>
      <c r="E131" s="51"/>
      <c r="F131" s="10"/>
      <c r="G131" s="52"/>
      <c r="H131" s="10"/>
      <c r="I131" s="53"/>
      <c r="J131" s="54"/>
      <c r="K131" s="10"/>
      <c r="L131" s="10"/>
      <c r="M131" s="10"/>
    </row>
    <row r="132" ht="15.75" customHeight="1">
      <c r="A132" s="46"/>
      <c r="B132" s="10"/>
      <c r="C132" s="10"/>
      <c r="D132" s="10"/>
      <c r="E132" s="51"/>
      <c r="F132" s="10"/>
      <c r="G132" s="52"/>
      <c r="H132" s="10"/>
      <c r="I132" s="53"/>
      <c r="J132" s="54"/>
      <c r="K132" s="10"/>
      <c r="L132" s="10"/>
      <c r="M132" s="10"/>
    </row>
    <row r="133" ht="15.75" customHeight="1">
      <c r="A133" s="46"/>
      <c r="B133" s="10"/>
      <c r="C133" s="10"/>
      <c r="D133" s="10"/>
      <c r="E133" s="51"/>
      <c r="F133" s="10"/>
      <c r="G133" s="52"/>
      <c r="H133" s="10"/>
      <c r="I133" s="53"/>
      <c r="J133" s="54"/>
      <c r="K133" s="10"/>
      <c r="L133" s="10"/>
      <c r="M133" s="10"/>
    </row>
    <row r="134" ht="15.75" customHeight="1">
      <c r="A134" s="46"/>
      <c r="B134" s="10"/>
      <c r="C134" s="10"/>
      <c r="D134" s="10"/>
      <c r="E134" s="51"/>
      <c r="F134" s="10"/>
      <c r="G134" s="52"/>
      <c r="H134" s="10"/>
      <c r="I134" s="53"/>
      <c r="J134" s="54"/>
      <c r="K134" s="10"/>
      <c r="L134" s="10"/>
      <c r="M134" s="10"/>
    </row>
    <row r="135" ht="15.75" customHeight="1">
      <c r="A135" s="46"/>
      <c r="B135" s="10"/>
      <c r="C135" s="10"/>
      <c r="D135" s="10"/>
      <c r="E135" s="51"/>
      <c r="F135" s="10"/>
      <c r="G135" s="52"/>
      <c r="H135" s="10"/>
      <c r="I135" s="53"/>
      <c r="J135" s="54"/>
      <c r="K135" s="10"/>
      <c r="L135" s="10"/>
      <c r="M135" s="10"/>
    </row>
    <row r="136" ht="15.75" customHeight="1">
      <c r="A136" s="46"/>
      <c r="B136" s="10"/>
      <c r="C136" s="10"/>
      <c r="D136" s="10"/>
      <c r="E136" s="51"/>
      <c r="F136" s="10"/>
      <c r="G136" s="52"/>
      <c r="H136" s="10"/>
      <c r="I136" s="53"/>
      <c r="J136" s="54"/>
      <c r="K136" s="10"/>
      <c r="L136" s="10"/>
      <c r="M136" s="10"/>
    </row>
    <row r="137" ht="15.75" customHeight="1">
      <c r="A137" s="46"/>
      <c r="B137" s="10"/>
      <c r="C137" s="10"/>
      <c r="D137" s="10"/>
      <c r="E137" s="51"/>
      <c r="F137" s="10"/>
      <c r="G137" s="52"/>
      <c r="H137" s="10"/>
      <c r="I137" s="53"/>
      <c r="J137" s="54"/>
      <c r="K137" s="10"/>
      <c r="L137" s="10"/>
      <c r="M137" s="10"/>
    </row>
    <row r="138" ht="15.75" customHeight="1">
      <c r="A138" s="46"/>
      <c r="B138" s="10"/>
      <c r="C138" s="10"/>
      <c r="D138" s="10"/>
      <c r="E138" s="51"/>
      <c r="F138" s="10"/>
      <c r="G138" s="52"/>
      <c r="H138" s="10"/>
      <c r="I138" s="53"/>
      <c r="J138" s="54"/>
      <c r="K138" s="10"/>
      <c r="L138" s="10"/>
      <c r="M138" s="10"/>
    </row>
    <row r="139" ht="15.75" customHeight="1">
      <c r="A139" s="46"/>
      <c r="B139" s="10"/>
      <c r="C139" s="10"/>
      <c r="D139" s="10"/>
      <c r="E139" s="51"/>
      <c r="F139" s="10"/>
      <c r="G139" s="52"/>
      <c r="H139" s="10"/>
      <c r="I139" s="53"/>
      <c r="J139" s="54"/>
      <c r="K139" s="10"/>
      <c r="L139" s="10"/>
      <c r="M139" s="10"/>
    </row>
    <row r="140" ht="15.75" customHeight="1">
      <c r="A140" s="46"/>
      <c r="B140" s="10"/>
      <c r="C140" s="10"/>
      <c r="D140" s="10"/>
      <c r="E140" s="51"/>
      <c r="F140" s="10"/>
      <c r="G140" s="52"/>
      <c r="H140" s="10"/>
      <c r="I140" s="53"/>
      <c r="J140" s="54"/>
      <c r="K140" s="10"/>
      <c r="L140" s="10"/>
      <c r="M140" s="10"/>
    </row>
    <row r="141" ht="15.75" customHeight="1">
      <c r="A141" s="46"/>
      <c r="B141" s="10"/>
      <c r="C141" s="10"/>
      <c r="D141" s="10"/>
      <c r="E141" s="51"/>
      <c r="F141" s="10"/>
      <c r="G141" s="52"/>
      <c r="H141" s="10"/>
      <c r="I141" s="53"/>
      <c r="J141" s="54"/>
      <c r="K141" s="10"/>
      <c r="L141" s="10"/>
      <c r="M141" s="10"/>
    </row>
    <row r="142" ht="15.75" customHeight="1">
      <c r="A142" s="46"/>
      <c r="B142" s="10"/>
      <c r="C142" s="10"/>
      <c r="D142" s="10"/>
      <c r="E142" s="51"/>
      <c r="F142" s="10"/>
      <c r="G142" s="52"/>
      <c r="H142" s="10"/>
      <c r="I142" s="53"/>
      <c r="J142" s="54"/>
      <c r="K142" s="10"/>
      <c r="L142" s="10"/>
      <c r="M142" s="10"/>
    </row>
    <row r="143" ht="15.75" customHeight="1">
      <c r="A143" s="46"/>
      <c r="B143" s="10"/>
      <c r="C143" s="10"/>
      <c r="D143" s="10"/>
      <c r="E143" s="51"/>
      <c r="F143" s="10"/>
      <c r="G143" s="52"/>
      <c r="H143" s="10"/>
      <c r="I143" s="53"/>
      <c r="J143" s="54"/>
      <c r="K143" s="10"/>
      <c r="L143" s="10"/>
      <c r="M143" s="10"/>
    </row>
    <row r="144" ht="15.75" customHeight="1">
      <c r="A144" s="46"/>
      <c r="B144" s="10"/>
      <c r="C144" s="10"/>
      <c r="D144" s="10"/>
      <c r="E144" s="51"/>
      <c r="F144" s="10"/>
      <c r="G144" s="52"/>
      <c r="H144" s="10"/>
      <c r="I144" s="53"/>
      <c r="J144" s="54"/>
      <c r="K144" s="10"/>
      <c r="L144" s="10"/>
      <c r="M144" s="10"/>
    </row>
    <row r="145" ht="15.75" customHeight="1">
      <c r="A145" s="46"/>
      <c r="B145" s="10"/>
      <c r="C145" s="10"/>
      <c r="D145" s="10"/>
      <c r="E145" s="51"/>
      <c r="F145" s="10"/>
      <c r="G145" s="52"/>
      <c r="H145" s="10"/>
      <c r="I145" s="53"/>
      <c r="J145" s="54"/>
      <c r="K145" s="10"/>
      <c r="L145" s="10"/>
      <c r="M145" s="10"/>
    </row>
    <row r="146" ht="15.75" customHeight="1">
      <c r="A146" s="46"/>
      <c r="B146" s="10"/>
      <c r="C146" s="10"/>
      <c r="D146" s="10"/>
      <c r="E146" s="51"/>
      <c r="F146" s="10"/>
      <c r="G146" s="52"/>
      <c r="H146" s="10"/>
      <c r="I146" s="53"/>
      <c r="J146" s="54"/>
      <c r="K146" s="10"/>
      <c r="L146" s="10"/>
      <c r="M146" s="10"/>
    </row>
    <row r="147" ht="15.75" customHeight="1">
      <c r="A147" s="46"/>
      <c r="B147" s="10"/>
      <c r="C147" s="10"/>
      <c r="D147" s="10"/>
      <c r="E147" s="51"/>
      <c r="F147" s="10"/>
      <c r="G147" s="52"/>
      <c r="H147" s="10"/>
      <c r="I147" s="53"/>
      <c r="J147" s="54"/>
      <c r="K147" s="10"/>
      <c r="L147" s="10"/>
      <c r="M147" s="10"/>
    </row>
    <row r="148" ht="15.75" customHeight="1">
      <c r="A148" s="46"/>
      <c r="B148" s="10"/>
      <c r="C148" s="10"/>
      <c r="D148" s="10"/>
      <c r="E148" s="51"/>
      <c r="F148" s="10"/>
      <c r="G148" s="52"/>
      <c r="H148" s="10"/>
      <c r="I148" s="53"/>
      <c r="J148" s="54"/>
      <c r="K148" s="10"/>
      <c r="L148" s="10"/>
      <c r="M148" s="10"/>
    </row>
    <row r="149" ht="15.75" customHeight="1">
      <c r="A149" s="46"/>
      <c r="B149" s="10"/>
      <c r="C149" s="10"/>
      <c r="D149" s="10"/>
      <c r="E149" s="51"/>
      <c r="F149" s="10"/>
      <c r="G149" s="52"/>
      <c r="H149" s="10"/>
      <c r="I149" s="53"/>
      <c r="J149" s="54"/>
      <c r="K149" s="10"/>
      <c r="L149" s="10"/>
      <c r="M149" s="10"/>
    </row>
    <row r="150" ht="15.75" customHeight="1">
      <c r="A150" s="46"/>
      <c r="B150" s="10"/>
      <c r="C150" s="10"/>
      <c r="D150" s="10"/>
      <c r="E150" s="51"/>
      <c r="F150" s="10"/>
      <c r="G150" s="52"/>
      <c r="H150" s="10"/>
      <c r="I150" s="53"/>
      <c r="J150" s="54"/>
      <c r="K150" s="10"/>
      <c r="L150" s="10"/>
      <c r="M150" s="10"/>
    </row>
    <row r="151" ht="15.75" customHeight="1">
      <c r="A151" s="46"/>
      <c r="B151" s="10"/>
      <c r="C151" s="10"/>
      <c r="D151" s="10"/>
      <c r="E151" s="51"/>
      <c r="F151" s="10"/>
      <c r="G151" s="52"/>
      <c r="H151" s="10"/>
      <c r="I151" s="53"/>
      <c r="J151" s="54"/>
      <c r="K151" s="10"/>
      <c r="L151" s="10"/>
      <c r="M151" s="10"/>
    </row>
    <row r="152" ht="15.75" customHeight="1">
      <c r="A152" s="46"/>
      <c r="B152" s="10"/>
      <c r="C152" s="10"/>
      <c r="D152" s="10"/>
      <c r="E152" s="51"/>
      <c r="F152" s="10"/>
      <c r="G152" s="52"/>
      <c r="H152" s="10"/>
      <c r="I152" s="53"/>
      <c r="J152" s="54"/>
      <c r="K152" s="10"/>
      <c r="L152" s="10"/>
      <c r="M152" s="10"/>
    </row>
    <row r="153" ht="15.75" customHeight="1">
      <c r="A153" s="46"/>
      <c r="B153" s="10"/>
      <c r="C153" s="10"/>
      <c r="D153" s="10"/>
      <c r="E153" s="51"/>
      <c r="F153" s="10"/>
      <c r="G153" s="52"/>
      <c r="H153" s="10"/>
      <c r="I153" s="53"/>
      <c r="J153" s="54"/>
      <c r="K153" s="10"/>
      <c r="L153" s="10"/>
      <c r="M153" s="10"/>
    </row>
    <row r="154" ht="15.75" customHeight="1">
      <c r="A154" s="46"/>
      <c r="B154" s="10"/>
      <c r="C154" s="10"/>
      <c r="D154" s="10"/>
      <c r="E154" s="47"/>
      <c r="F154" s="10"/>
      <c r="G154" s="52"/>
      <c r="H154" s="10"/>
      <c r="I154" s="53"/>
      <c r="J154" s="54"/>
      <c r="K154" s="10"/>
      <c r="L154" s="10"/>
      <c r="M154" s="10"/>
    </row>
    <row r="155" ht="15.75" customHeight="1">
      <c r="A155" s="46"/>
      <c r="B155" s="10"/>
      <c r="C155" s="10"/>
      <c r="D155" s="10"/>
      <c r="E155" s="47"/>
      <c r="F155" s="10"/>
      <c r="G155" s="52"/>
      <c r="H155" s="10"/>
      <c r="I155" s="53"/>
      <c r="J155" s="54"/>
      <c r="K155" s="10"/>
      <c r="L155" s="10"/>
      <c r="M155" s="10"/>
    </row>
    <row r="156" ht="15.75" customHeight="1">
      <c r="A156" s="46"/>
      <c r="B156" s="10"/>
      <c r="C156" s="10"/>
      <c r="D156" s="10"/>
      <c r="E156" s="47"/>
      <c r="F156" s="10"/>
      <c r="G156" s="52"/>
      <c r="H156" s="10"/>
      <c r="I156" s="53"/>
      <c r="J156" s="54"/>
      <c r="K156" s="10"/>
      <c r="L156" s="10"/>
      <c r="M156" s="10"/>
    </row>
    <row r="157" ht="15.75" customHeight="1">
      <c r="A157" s="46"/>
      <c r="B157" s="10"/>
      <c r="C157" s="10"/>
      <c r="D157" s="10"/>
      <c r="E157" s="47"/>
      <c r="F157" s="10"/>
      <c r="G157" s="52"/>
      <c r="H157" s="10"/>
      <c r="I157" s="53"/>
      <c r="J157" s="54"/>
      <c r="K157" s="10"/>
      <c r="L157" s="10"/>
      <c r="M157" s="10"/>
    </row>
    <row r="158" ht="15.75" customHeight="1">
      <c r="A158" s="46"/>
      <c r="B158" s="10"/>
      <c r="C158" s="10"/>
      <c r="D158" s="10"/>
      <c r="E158" s="47"/>
      <c r="F158" s="10"/>
      <c r="G158" s="52"/>
      <c r="H158" s="10"/>
      <c r="I158" s="53"/>
      <c r="J158" s="54"/>
      <c r="K158" s="10"/>
      <c r="L158" s="10"/>
      <c r="M158" s="10"/>
    </row>
    <row r="159" ht="15.75" customHeight="1">
      <c r="A159" s="46"/>
      <c r="B159" s="10"/>
      <c r="C159" s="10"/>
      <c r="D159" s="10"/>
      <c r="E159" s="47"/>
      <c r="F159" s="10"/>
      <c r="G159" s="52"/>
      <c r="H159" s="10"/>
      <c r="I159" s="53"/>
      <c r="J159" s="54"/>
      <c r="K159" s="10"/>
      <c r="L159" s="10"/>
      <c r="M159" s="10"/>
    </row>
    <row r="160" ht="15.75" customHeight="1">
      <c r="A160" s="46"/>
      <c r="B160" s="10"/>
      <c r="C160" s="10"/>
      <c r="D160" s="10"/>
      <c r="E160" s="47"/>
      <c r="F160" s="10"/>
      <c r="G160" s="52"/>
      <c r="H160" s="10"/>
      <c r="I160" s="53"/>
      <c r="J160" s="54"/>
      <c r="K160" s="10"/>
      <c r="L160" s="10"/>
      <c r="M160" s="10"/>
    </row>
    <row r="161" ht="15.75" customHeight="1">
      <c r="A161" s="46"/>
      <c r="B161" s="10"/>
      <c r="C161" s="10"/>
      <c r="D161" s="10"/>
      <c r="E161" s="47"/>
      <c r="F161" s="10"/>
      <c r="G161" s="52"/>
      <c r="H161" s="10"/>
      <c r="I161" s="53"/>
      <c r="J161" s="54"/>
      <c r="K161" s="10"/>
      <c r="L161" s="10"/>
      <c r="M161" s="10"/>
    </row>
    <row r="162" ht="15.75" customHeight="1">
      <c r="A162" s="46"/>
      <c r="B162" s="10"/>
      <c r="C162" s="10"/>
      <c r="D162" s="10"/>
      <c r="E162" s="47"/>
      <c r="F162" s="10"/>
      <c r="G162" s="52"/>
      <c r="H162" s="10"/>
      <c r="I162" s="53"/>
      <c r="J162" s="54"/>
      <c r="K162" s="10"/>
      <c r="L162" s="10"/>
      <c r="M162" s="10"/>
    </row>
    <row r="163" ht="15.75" customHeight="1">
      <c r="A163" s="46"/>
      <c r="B163" s="10"/>
      <c r="C163" s="10"/>
      <c r="D163" s="10"/>
      <c r="E163" s="47"/>
      <c r="F163" s="10"/>
      <c r="G163" s="52"/>
      <c r="H163" s="10"/>
      <c r="I163" s="53"/>
      <c r="J163" s="54"/>
      <c r="K163" s="10"/>
      <c r="L163" s="10"/>
      <c r="M163" s="10"/>
    </row>
    <row r="164" ht="15.75" customHeight="1">
      <c r="A164" s="46"/>
      <c r="B164" s="10"/>
      <c r="C164" s="10"/>
      <c r="D164" s="10"/>
      <c r="E164" s="47"/>
      <c r="F164" s="10"/>
      <c r="G164" s="52"/>
      <c r="H164" s="10"/>
      <c r="I164" s="53"/>
      <c r="J164" s="54"/>
      <c r="K164" s="10"/>
      <c r="L164" s="10"/>
      <c r="M164" s="10"/>
    </row>
    <row r="165" ht="15.75" customHeight="1">
      <c r="A165" s="46"/>
      <c r="B165" s="10"/>
      <c r="C165" s="10"/>
      <c r="D165" s="10"/>
      <c r="E165" s="47"/>
      <c r="F165" s="10"/>
      <c r="G165" s="52"/>
      <c r="H165" s="10"/>
      <c r="I165" s="53"/>
      <c r="J165" s="54"/>
      <c r="K165" s="10"/>
      <c r="L165" s="10"/>
      <c r="M165" s="10"/>
    </row>
    <row r="166" ht="15.75" customHeight="1">
      <c r="A166" s="46"/>
      <c r="B166" s="10"/>
      <c r="C166" s="10"/>
      <c r="D166" s="10"/>
      <c r="E166" s="47"/>
      <c r="F166" s="10"/>
      <c r="G166" s="52"/>
      <c r="H166" s="10"/>
      <c r="I166" s="53"/>
      <c r="J166" s="54"/>
      <c r="K166" s="10"/>
      <c r="L166" s="10"/>
      <c r="M166" s="10"/>
    </row>
    <row r="167" ht="15.75" customHeight="1">
      <c r="A167" s="46"/>
      <c r="B167" s="10"/>
      <c r="C167" s="10"/>
      <c r="D167" s="10"/>
      <c r="E167" s="47"/>
      <c r="F167" s="10"/>
      <c r="G167" s="52"/>
      <c r="H167" s="10"/>
      <c r="I167" s="53"/>
      <c r="J167" s="54"/>
      <c r="K167" s="10"/>
      <c r="L167" s="10"/>
      <c r="M167" s="10"/>
    </row>
    <row r="168" ht="15.75" customHeight="1">
      <c r="A168" s="46"/>
      <c r="B168" s="10"/>
      <c r="C168" s="10"/>
      <c r="D168" s="10"/>
      <c r="E168" s="47"/>
      <c r="F168" s="10"/>
      <c r="G168" s="52"/>
      <c r="H168" s="10"/>
      <c r="I168" s="53"/>
      <c r="J168" s="54"/>
      <c r="K168" s="10"/>
      <c r="L168" s="10"/>
      <c r="M168" s="10"/>
    </row>
    <row r="169" ht="15.75" customHeight="1">
      <c r="A169" s="46"/>
      <c r="B169" s="10"/>
      <c r="C169" s="10"/>
      <c r="D169" s="10"/>
      <c r="E169" s="47"/>
      <c r="F169" s="10"/>
      <c r="G169" s="52"/>
      <c r="H169" s="10"/>
      <c r="I169" s="53"/>
      <c r="J169" s="54"/>
      <c r="K169" s="10"/>
      <c r="L169" s="10"/>
      <c r="M169" s="10"/>
    </row>
    <row r="170" ht="15.75" customHeight="1">
      <c r="A170" s="46"/>
      <c r="B170" s="10"/>
      <c r="C170" s="10"/>
      <c r="D170" s="10"/>
      <c r="E170" s="47"/>
      <c r="F170" s="10"/>
      <c r="G170" s="52"/>
      <c r="H170" s="10"/>
      <c r="I170" s="53"/>
      <c r="J170" s="54"/>
      <c r="K170" s="10"/>
      <c r="L170" s="10"/>
      <c r="M170" s="10"/>
    </row>
    <row r="171" ht="15.75" customHeight="1">
      <c r="A171" s="46"/>
      <c r="B171" s="10"/>
      <c r="C171" s="10"/>
      <c r="D171" s="10"/>
      <c r="E171" s="47"/>
      <c r="F171" s="10"/>
      <c r="G171" s="52"/>
      <c r="H171" s="10"/>
      <c r="I171" s="53"/>
      <c r="J171" s="54"/>
      <c r="K171" s="10"/>
      <c r="L171" s="10"/>
      <c r="M171" s="10"/>
    </row>
    <row r="172" ht="15.75" customHeight="1">
      <c r="A172" s="46"/>
      <c r="B172" s="10"/>
      <c r="C172" s="10"/>
      <c r="D172" s="10"/>
      <c r="E172" s="47"/>
      <c r="F172" s="10"/>
      <c r="G172" s="52"/>
      <c r="H172" s="10"/>
      <c r="I172" s="53"/>
      <c r="J172" s="54"/>
      <c r="K172" s="10"/>
      <c r="L172" s="10"/>
      <c r="M172" s="10"/>
    </row>
    <row r="173" ht="15.75" customHeight="1">
      <c r="A173" s="46"/>
      <c r="B173" s="10"/>
      <c r="C173" s="10"/>
      <c r="D173" s="10"/>
      <c r="E173" s="47"/>
      <c r="F173" s="10"/>
      <c r="G173" s="52"/>
      <c r="H173" s="10"/>
      <c r="I173" s="53"/>
      <c r="J173" s="54"/>
      <c r="K173" s="10"/>
      <c r="L173" s="10"/>
      <c r="M173" s="10"/>
    </row>
    <row r="174" ht="15.75" customHeight="1">
      <c r="A174" s="46"/>
      <c r="B174" s="10"/>
      <c r="C174" s="10"/>
      <c r="D174" s="10"/>
      <c r="E174" s="47"/>
      <c r="F174" s="10"/>
      <c r="G174" s="52"/>
      <c r="H174" s="10"/>
      <c r="I174" s="53"/>
      <c r="J174" s="54"/>
      <c r="K174" s="10"/>
      <c r="L174" s="10"/>
      <c r="M174" s="10"/>
    </row>
    <row r="175" ht="15.75" customHeight="1">
      <c r="A175" s="46"/>
      <c r="B175" s="10"/>
      <c r="C175" s="10"/>
      <c r="D175" s="10"/>
      <c r="E175" s="47"/>
      <c r="F175" s="10"/>
      <c r="G175" s="52"/>
      <c r="H175" s="10"/>
      <c r="I175" s="53"/>
      <c r="J175" s="54"/>
      <c r="K175" s="10"/>
      <c r="L175" s="10"/>
      <c r="M175" s="10"/>
    </row>
    <row r="176" ht="15.75" customHeight="1">
      <c r="A176" s="46"/>
      <c r="B176" s="10"/>
      <c r="C176" s="10"/>
      <c r="D176" s="10"/>
      <c r="E176" s="47"/>
      <c r="F176" s="10"/>
      <c r="G176" s="52"/>
      <c r="H176" s="10"/>
      <c r="I176" s="53"/>
      <c r="J176" s="54"/>
      <c r="K176" s="10"/>
      <c r="L176" s="10"/>
      <c r="M176" s="10"/>
    </row>
    <row r="177" ht="15.75" customHeight="1">
      <c r="A177" s="46"/>
      <c r="B177" s="10"/>
      <c r="C177" s="10"/>
      <c r="D177" s="10"/>
      <c r="E177" s="47"/>
      <c r="F177" s="10"/>
      <c r="G177" s="52"/>
      <c r="H177" s="10"/>
      <c r="I177" s="53"/>
      <c r="J177" s="54"/>
      <c r="K177" s="10"/>
      <c r="L177" s="10"/>
      <c r="M177" s="10"/>
    </row>
    <row r="178" ht="15.75" customHeight="1">
      <c r="A178" s="46"/>
      <c r="B178" s="10"/>
      <c r="C178" s="10"/>
      <c r="D178" s="10"/>
      <c r="E178" s="47"/>
      <c r="F178" s="10"/>
      <c r="G178" s="52"/>
      <c r="H178" s="10"/>
      <c r="I178" s="53"/>
      <c r="J178" s="54"/>
      <c r="K178" s="10"/>
      <c r="L178" s="10"/>
      <c r="M178" s="10"/>
    </row>
    <row r="179" ht="15.75" customHeight="1">
      <c r="A179" s="46"/>
      <c r="B179" s="10"/>
      <c r="C179" s="10"/>
      <c r="D179" s="10"/>
      <c r="E179" s="47"/>
      <c r="F179" s="10"/>
      <c r="G179" s="52"/>
      <c r="H179" s="10"/>
      <c r="I179" s="53"/>
      <c r="J179" s="54"/>
      <c r="K179" s="10"/>
      <c r="L179" s="10"/>
      <c r="M179" s="10"/>
    </row>
    <row r="180" ht="15.75" customHeight="1">
      <c r="A180" s="46"/>
      <c r="B180" s="10"/>
      <c r="C180" s="10"/>
      <c r="D180" s="10"/>
      <c r="E180" s="47"/>
      <c r="F180" s="10"/>
      <c r="G180" s="52"/>
      <c r="H180" s="10"/>
      <c r="I180" s="53"/>
      <c r="J180" s="54"/>
      <c r="K180" s="10"/>
      <c r="L180" s="10"/>
      <c r="M180" s="10"/>
    </row>
    <row r="181" ht="15.75" customHeight="1">
      <c r="A181" s="46"/>
      <c r="B181" s="10"/>
      <c r="C181" s="10"/>
      <c r="D181" s="10"/>
      <c r="E181" s="47"/>
      <c r="F181" s="10"/>
      <c r="G181" s="52"/>
      <c r="H181" s="10"/>
      <c r="I181" s="53"/>
      <c r="J181" s="54"/>
      <c r="K181" s="10"/>
      <c r="L181" s="10"/>
      <c r="M181" s="10"/>
    </row>
    <row r="182" ht="15.75" customHeight="1">
      <c r="A182" s="46"/>
      <c r="B182" s="10"/>
      <c r="C182" s="10"/>
      <c r="D182" s="10"/>
      <c r="E182" s="47"/>
      <c r="F182" s="10"/>
      <c r="G182" s="52"/>
      <c r="H182" s="10"/>
      <c r="I182" s="53"/>
      <c r="J182" s="54"/>
      <c r="K182" s="10"/>
      <c r="L182" s="10"/>
      <c r="M182" s="10"/>
    </row>
    <row r="183" ht="15.75" customHeight="1">
      <c r="A183" s="46"/>
      <c r="B183" s="10"/>
      <c r="C183" s="10"/>
      <c r="D183" s="10"/>
      <c r="E183" s="47"/>
      <c r="F183" s="10"/>
      <c r="G183" s="52"/>
      <c r="H183" s="10"/>
      <c r="I183" s="53"/>
      <c r="J183" s="54"/>
      <c r="K183" s="10"/>
      <c r="L183" s="10"/>
      <c r="M183" s="10"/>
    </row>
    <row r="184" ht="15.75" customHeight="1">
      <c r="A184" s="46"/>
      <c r="B184" s="10"/>
      <c r="C184" s="10"/>
      <c r="D184" s="10"/>
      <c r="E184" s="47"/>
      <c r="F184" s="10"/>
      <c r="G184" s="52"/>
      <c r="H184" s="10"/>
      <c r="I184" s="53"/>
      <c r="J184" s="54"/>
      <c r="K184" s="10"/>
      <c r="L184" s="10"/>
      <c r="M184" s="10"/>
    </row>
    <row r="185" ht="15.75" customHeight="1">
      <c r="A185" s="46"/>
      <c r="B185" s="10"/>
      <c r="C185" s="10"/>
      <c r="D185" s="10"/>
      <c r="E185" s="47"/>
      <c r="F185" s="10"/>
      <c r="G185" s="52"/>
      <c r="H185" s="10"/>
      <c r="I185" s="53"/>
      <c r="J185" s="54"/>
      <c r="K185" s="10"/>
      <c r="L185" s="10"/>
      <c r="M185" s="10"/>
    </row>
    <row r="186" ht="15.75" customHeight="1">
      <c r="A186" s="46"/>
      <c r="B186" s="10"/>
      <c r="C186" s="10"/>
      <c r="D186" s="10"/>
      <c r="E186" s="47"/>
      <c r="F186" s="10"/>
      <c r="G186" s="52"/>
      <c r="H186" s="10"/>
      <c r="I186" s="53"/>
      <c r="J186" s="54"/>
      <c r="K186" s="10"/>
      <c r="L186" s="10"/>
      <c r="M186" s="10"/>
    </row>
    <row r="187" ht="15.75" customHeight="1">
      <c r="A187" s="46"/>
      <c r="B187" s="10"/>
      <c r="C187" s="10"/>
      <c r="D187" s="10"/>
      <c r="E187" s="47"/>
      <c r="F187" s="10"/>
      <c r="G187" s="52"/>
      <c r="H187" s="10"/>
      <c r="I187" s="53"/>
      <c r="J187" s="54"/>
      <c r="K187" s="10"/>
      <c r="L187" s="10"/>
      <c r="M187" s="10"/>
    </row>
    <row r="188" ht="15.75" customHeight="1">
      <c r="A188" s="46"/>
      <c r="B188" s="10"/>
      <c r="C188" s="10"/>
      <c r="D188" s="10"/>
      <c r="E188" s="47"/>
      <c r="F188" s="10"/>
      <c r="G188" s="52"/>
      <c r="H188" s="10"/>
      <c r="I188" s="53"/>
      <c r="J188" s="54"/>
      <c r="K188" s="10"/>
      <c r="L188" s="10"/>
      <c r="M188" s="10"/>
    </row>
    <row r="189" ht="15.75" customHeight="1">
      <c r="A189" s="46"/>
      <c r="B189" s="10"/>
      <c r="C189" s="10"/>
      <c r="D189" s="10"/>
      <c r="E189" s="47"/>
      <c r="F189" s="10"/>
      <c r="G189" s="52"/>
      <c r="H189" s="10"/>
      <c r="I189" s="53"/>
      <c r="J189" s="54"/>
      <c r="K189" s="10"/>
      <c r="L189" s="10"/>
      <c r="M189" s="10"/>
    </row>
    <row r="190" ht="15.75" customHeight="1">
      <c r="A190" s="46"/>
      <c r="B190" s="10"/>
      <c r="C190" s="10"/>
      <c r="D190" s="10"/>
      <c r="E190" s="47"/>
      <c r="F190" s="10"/>
      <c r="G190" s="52"/>
      <c r="H190" s="10"/>
      <c r="I190" s="53"/>
      <c r="J190" s="54"/>
      <c r="K190" s="10"/>
      <c r="L190" s="10"/>
      <c r="M190" s="10"/>
    </row>
    <row r="191" ht="15.75" customHeight="1">
      <c r="A191" s="46"/>
      <c r="B191" s="10"/>
      <c r="C191" s="10"/>
      <c r="D191" s="10"/>
      <c r="E191" s="47"/>
      <c r="F191" s="10"/>
      <c r="G191" s="52"/>
      <c r="H191" s="10"/>
      <c r="I191" s="53"/>
      <c r="J191" s="54"/>
      <c r="K191" s="10"/>
      <c r="L191" s="10"/>
      <c r="M191" s="10"/>
    </row>
    <row r="192" ht="15.75" customHeight="1">
      <c r="A192" s="46"/>
      <c r="B192" s="10"/>
      <c r="C192" s="10"/>
      <c r="D192" s="10"/>
      <c r="E192" s="47"/>
      <c r="F192" s="10"/>
      <c r="G192" s="52"/>
      <c r="H192" s="10"/>
      <c r="I192" s="53"/>
      <c r="J192" s="54"/>
      <c r="K192" s="10"/>
      <c r="L192" s="10"/>
      <c r="M192" s="10"/>
    </row>
    <row r="193" ht="15.75" customHeight="1">
      <c r="A193" s="46"/>
      <c r="B193" s="10"/>
      <c r="C193" s="10"/>
      <c r="D193" s="10"/>
      <c r="E193" s="47"/>
      <c r="F193" s="10"/>
      <c r="G193" s="52"/>
      <c r="H193" s="10"/>
      <c r="I193" s="53"/>
      <c r="J193" s="54"/>
      <c r="K193" s="10"/>
      <c r="L193" s="10"/>
      <c r="M193" s="10"/>
    </row>
    <row r="194" ht="15.75" customHeight="1">
      <c r="A194" s="46"/>
      <c r="B194" s="10"/>
      <c r="C194" s="10"/>
      <c r="D194" s="10"/>
      <c r="E194" s="47"/>
      <c r="F194" s="10"/>
      <c r="G194" s="52"/>
      <c r="H194" s="10"/>
      <c r="I194" s="53"/>
      <c r="J194" s="54"/>
      <c r="K194" s="10"/>
      <c r="L194" s="10"/>
      <c r="M194" s="10"/>
    </row>
    <row r="195" ht="15.75" customHeight="1">
      <c r="A195" s="46"/>
      <c r="B195" s="10"/>
      <c r="C195" s="10"/>
      <c r="D195" s="10"/>
      <c r="E195" s="47"/>
      <c r="F195" s="10"/>
      <c r="G195" s="52"/>
      <c r="H195" s="10"/>
      <c r="I195" s="53"/>
      <c r="J195" s="54"/>
      <c r="K195" s="10"/>
      <c r="L195" s="10"/>
      <c r="M195" s="10"/>
    </row>
    <row r="196" ht="15.75" customHeight="1">
      <c r="A196" s="46"/>
      <c r="B196" s="10"/>
      <c r="C196" s="10"/>
      <c r="D196" s="10"/>
      <c r="E196" s="47"/>
      <c r="F196" s="10"/>
      <c r="G196" s="52"/>
      <c r="H196" s="10"/>
      <c r="I196" s="53"/>
      <c r="J196" s="54"/>
      <c r="K196" s="10"/>
      <c r="L196" s="10"/>
      <c r="M196" s="10"/>
    </row>
    <row r="197" ht="15.75" customHeight="1">
      <c r="A197" s="46"/>
      <c r="B197" s="10"/>
      <c r="C197" s="10"/>
      <c r="D197" s="10"/>
      <c r="E197" s="47"/>
      <c r="F197" s="10"/>
      <c r="G197" s="52"/>
      <c r="H197" s="10"/>
      <c r="I197" s="53"/>
      <c r="J197" s="54"/>
      <c r="K197" s="10"/>
      <c r="L197" s="10"/>
      <c r="M197" s="10"/>
    </row>
    <row r="198" ht="15.75" customHeight="1">
      <c r="A198" s="46"/>
      <c r="B198" s="10"/>
      <c r="C198" s="10"/>
      <c r="D198" s="10"/>
      <c r="E198" s="47"/>
      <c r="F198" s="10"/>
      <c r="G198" s="52"/>
      <c r="H198" s="10"/>
      <c r="I198" s="53"/>
      <c r="J198" s="54"/>
      <c r="K198" s="10"/>
      <c r="L198" s="10"/>
      <c r="M198" s="10"/>
    </row>
    <row r="199" ht="15.75" customHeight="1">
      <c r="A199" s="46"/>
      <c r="B199" s="10"/>
      <c r="C199" s="10"/>
      <c r="D199" s="10"/>
      <c r="E199" s="47"/>
      <c r="F199" s="10"/>
      <c r="G199" s="52"/>
      <c r="H199" s="10"/>
      <c r="I199" s="53"/>
      <c r="J199" s="54"/>
      <c r="K199" s="10"/>
      <c r="L199" s="10"/>
      <c r="M199" s="10"/>
    </row>
    <row r="200" ht="15.75" customHeight="1">
      <c r="A200" s="46"/>
      <c r="B200" s="10"/>
      <c r="C200" s="10"/>
      <c r="D200" s="10"/>
      <c r="E200" s="47"/>
      <c r="F200" s="10"/>
      <c r="G200" s="52"/>
      <c r="H200" s="10"/>
      <c r="I200" s="53"/>
      <c r="J200" s="54"/>
      <c r="K200" s="10"/>
      <c r="L200" s="10"/>
      <c r="M200" s="10"/>
    </row>
    <row r="201" ht="15.75" customHeight="1">
      <c r="A201" s="46"/>
      <c r="B201" s="10"/>
      <c r="C201" s="10"/>
      <c r="D201" s="10"/>
      <c r="E201" s="47"/>
      <c r="F201" s="10"/>
      <c r="G201" s="52"/>
      <c r="H201" s="10"/>
      <c r="I201" s="53"/>
      <c r="J201" s="54"/>
      <c r="K201" s="10"/>
      <c r="L201" s="10"/>
      <c r="M201" s="10"/>
    </row>
    <row r="202" ht="15.75" customHeight="1">
      <c r="A202" s="46"/>
      <c r="B202" s="10"/>
      <c r="C202" s="10"/>
      <c r="D202" s="10"/>
      <c r="E202" s="47"/>
      <c r="F202" s="10"/>
      <c r="G202" s="52"/>
      <c r="H202" s="10"/>
      <c r="I202" s="53"/>
      <c r="J202" s="54"/>
      <c r="K202" s="10"/>
      <c r="L202" s="10"/>
      <c r="M202" s="10"/>
    </row>
    <row r="203" ht="15.75" customHeight="1">
      <c r="A203" s="46"/>
      <c r="B203" s="10"/>
      <c r="C203" s="10"/>
      <c r="D203" s="10"/>
      <c r="E203" s="47"/>
      <c r="F203" s="10"/>
      <c r="G203" s="52"/>
      <c r="H203" s="10"/>
      <c r="I203" s="53"/>
      <c r="J203" s="54"/>
      <c r="K203" s="10"/>
      <c r="L203" s="10"/>
      <c r="M203" s="10"/>
    </row>
    <row r="204" ht="15.75" customHeight="1">
      <c r="A204" s="46"/>
      <c r="B204" s="10"/>
      <c r="C204" s="10"/>
      <c r="D204" s="10"/>
      <c r="E204" s="47"/>
      <c r="F204" s="10"/>
      <c r="G204" s="52"/>
      <c r="H204" s="10"/>
      <c r="I204" s="53"/>
      <c r="J204" s="54"/>
      <c r="K204" s="10"/>
      <c r="L204" s="10"/>
      <c r="M204" s="10"/>
    </row>
    <row r="205" ht="15.75" customHeight="1">
      <c r="A205" s="46"/>
      <c r="B205" s="10"/>
      <c r="C205" s="10"/>
      <c r="D205" s="10"/>
      <c r="E205" s="47"/>
      <c r="F205" s="10"/>
      <c r="G205" s="52"/>
      <c r="H205" s="10"/>
      <c r="I205" s="53"/>
      <c r="J205" s="54"/>
      <c r="K205" s="10"/>
      <c r="L205" s="10"/>
      <c r="M205" s="10"/>
    </row>
    <row r="206" ht="15.75" customHeight="1">
      <c r="A206" s="46"/>
      <c r="B206" s="10"/>
      <c r="C206" s="10"/>
      <c r="D206" s="10"/>
      <c r="E206" s="47"/>
      <c r="F206" s="10"/>
      <c r="G206" s="52"/>
      <c r="H206" s="10"/>
      <c r="I206" s="53"/>
      <c r="J206" s="54"/>
      <c r="K206" s="10"/>
      <c r="L206" s="10"/>
      <c r="M206" s="10"/>
    </row>
    <row r="207" ht="15.75" customHeight="1">
      <c r="A207" s="46"/>
      <c r="B207" s="10"/>
      <c r="C207" s="10"/>
      <c r="D207" s="10"/>
      <c r="E207" s="47"/>
      <c r="F207" s="10"/>
      <c r="G207" s="52"/>
      <c r="H207" s="10"/>
      <c r="I207" s="53"/>
      <c r="J207" s="54"/>
      <c r="K207" s="10"/>
      <c r="L207" s="10"/>
      <c r="M207" s="10"/>
    </row>
    <row r="208" ht="15.75" customHeight="1">
      <c r="A208" s="46"/>
      <c r="B208" s="10"/>
      <c r="C208" s="10"/>
      <c r="D208" s="10"/>
      <c r="E208" s="47"/>
      <c r="F208" s="10"/>
      <c r="G208" s="52"/>
      <c r="H208" s="10"/>
      <c r="I208" s="53"/>
      <c r="J208" s="54"/>
      <c r="K208" s="10"/>
      <c r="L208" s="10"/>
      <c r="M208" s="10"/>
    </row>
    <row r="209" ht="15.75" customHeight="1">
      <c r="A209" s="46"/>
      <c r="B209" s="10"/>
      <c r="C209" s="10"/>
      <c r="D209" s="10"/>
      <c r="E209" s="47"/>
      <c r="F209" s="10"/>
      <c r="G209" s="52"/>
      <c r="H209" s="10"/>
      <c r="I209" s="53"/>
      <c r="J209" s="54"/>
      <c r="K209" s="10"/>
      <c r="L209" s="10"/>
      <c r="M209" s="10"/>
    </row>
    <row r="210" ht="15.75" customHeight="1">
      <c r="A210" s="46"/>
      <c r="B210" s="10"/>
      <c r="C210" s="10"/>
      <c r="D210" s="10"/>
      <c r="E210" s="47"/>
      <c r="F210" s="10"/>
      <c r="G210" s="52"/>
      <c r="H210" s="10"/>
      <c r="I210" s="53"/>
      <c r="J210" s="54"/>
      <c r="K210" s="10"/>
      <c r="L210" s="10"/>
      <c r="M210" s="10"/>
    </row>
    <row r="211" ht="15.75" customHeight="1">
      <c r="A211" s="46"/>
      <c r="B211" s="10"/>
      <c r="C211" s="10"/>
      <c r="D211" s="10"/>
      <c r="E211" s="47"/>
      <c r="F211" s="10"/>
      <c r="G211" s="52"/>
      <c r="H211" s="10"/>
      <c r="I211" s="53"/>
      <c r="J211" s="54"/>
      <c r="K211" s="10"/>
      <c r="L211" s="10"/>
      <c r="M211" s="10"/>
    </row>
    <row r="212" ht="15.75" customHeight="1">
      <c r="A212" s="46"/>
      <c r="B212" s="10"/>
      <c r="C212" s="10"/>
      <c r="D212" s="10"/>
      <c r="E212" s="47"/>
      <c r="F212" s="10"/>
      <c r="G212" s="52"/>
      <c r="H212" s="10"/>
      <c r="I212" s="53"/>
      <c r="J212" s="54"/>
      <c r="K212" s="10"/>
      <c r="L212" s="10"/>
      <c r="M212" s="10"/>
    </row>
    <row r="213" ht="15.75" customHeight="1">
      <c r="A213" s="46"/>
      <c r="B213" s="10"/>
      <c r="C213" s="10"/>
      <c r="D213" s="10"/>
      <c r="E213" s="47"/>
      <c r="F213" s="10"/>
      <c r="G213" s="52"/>
      <c r="H213" s="10"/>
      <c r="I213" s="53"/>
      <c r="J213" s="54"/>
      <c r="K213" s="10"/>
      <c r="L213" s="10"/>
      <c r="M213" s="10"/>
    </row>
    <row r="214" ht="15.75" customHeight="1">
      <c r="A214" s="46"/>
      <c r="B214" s="10"/>
      <c r="C214" s="10"/>
      <c r="D214" s="10"/>
      <c r="E214" s="47"/>
      <c r="F214" s="10"/>
      <c r="G214" s="52"/>
      <c r="H214" s="10"/>
      <c r="I214" s="53"/>
      <c r="J214" s="54"/>
      <c r="K214" s="10"/>
      <c r="L214" s="10"/>
      <c r="M214" s="10"/>
    </row>
    <row r="215" ht="15.75" customHeight="1">
      <c r="A215" s="46"/>
      <c r="B215" s="10"/>
      <c r="C215" s="10"/>
      <c r="D215" s="10"/>
      <c r="E215" s="47"/>
      <c r="F215" s="10"/>
      <c r="G215" s="52"/>
      <c r="H215" s="10"/>
      <c r="I215" s="53"/>
      <c r="J215" s="54"/>
      <c r="K215" s="10"/>
      <c r="L215" s="10"/>
      <c r="M215" s="10"/>
    </row>
    <row r="216" ht="15.75" customHeight="1">
      <c r="A216" s="46"/>
      <c r="B216" s="10"/>
      <c r="C216" s="10"/>
      <c r="D216" s="10"/>
      <c r="E216" s="47"/>
      <c r="F216" s="10"/>
      <c r="G216" s="52"/>
      <c r="H216" s="10"/>
      <c r="I216" s="53"/>
      <c r="J216" s="54"/>
      <c r="K216" s="10"/>
      <c r="L216" s="10"/>
      <c r="M216" s="10"/>
    </row>
    <row r="217" ht="15.75" customHeight="1">
      <c r="A217" s="46"/>
      <c r="B217" s="10"/>
      <c r="C217" s="10"/>
      <c r="D217" s="10"/>
      <c r="E217" s="47"/>
      <c r="F217" s="10"/>
      <c r="G217" s="52"/>
      <c r="H217" s="10"/>
      <c r="I217" s="53"/>
      <c r="J217" s="54"/>
      <c r="K217" s="10"/>
      <c r="L217" s="10"/>
      <c r="M217" s="10"/>
    </row>
    <row r="218" ht="15.75" customHeight="1">
      <c r="A218" s="46"/>
      <c r="B218" s="10"/>
      <c r="C218" s="10"/>
      <c r="D218" s="10"/>
      <c r="E218" s="47"/>
      <c r="F218" s="10"/>
      <c r="G218" s="52"/>
      <c r="H218" s="10"/>
      <c r="I218" s="53"/>
      <c r="J218" s="54"/>
      <c r="K218" s="10"/>
      <c r="L218" s="10"/>
      <c r="M218" s="10"/>
      <c r="N218" s="55"/>
    </row>
    <row r="219" ht="15.75" customHeight="1">
      <c r="A219" s="46"/>
      <c r="B219" s="10"/>
      <c r="C219" s="10"/>
      <c r="D219" s="10"/>
      <c r="E219" s="47"/>
      <c r="F219" s="10"/>
      <c r="G219" s="52"/>
      <c r="H219" s="10"/>
      <c r="I219" s="53"/>
      <c r="J219" s="54"/>
      <c r="K219" s="10"/>
      <c r="L219" s="10"/>
      <c r="M219" s="10"/>
    </row>
    <row r="220" ht="15.75" customHeight="1">
      <c r="A220" s="46"/>
      <c r="B220" s="10"/>
      <c r="C220" s="10"/>
      <c r="D220" s="10"/>
      <c r="E220" s="47"/>
      <c r="F220" s="10"/>
      <c r="G220" s="52"/>
      <c r="H220" s="10"/>
      <c r="I220" s="53"/>
      <c r="J220" s="54"/>
      <c r="K220" s="10"/>
      <c r="L220" s="10"/>
      <c r="M220" s="10"/>
    </row>
    <row r="221" ht="15.75" customHeight="1">
      <c r="A221" s="46"/>
      <c r="B221" s="10"/>
      <c r="C221" s="10"/>
      <c r="D221" s="10"/>
      <c r="E221" s="47"/>
      <c r="F221" s="10"/>
      <c r="G221" s="52"/>
      <c r="H221" s="10"/>
      <c r="I221" s="53"/>
      <c r="J221" s="54"/>
      <c r="K221" s="10"/>
      <c r="L221" s="10"/>
      <c r="M221" s="10"/>
    </row>
    <row r="222" ht="15.75" customHeight="1">
      <c r="A222" s="46"/>
      <c r="B222" s="10"/>
      <c r="C222" s="10"/>
      <c r="D222" s="10"/>
      <c r="E222" s="47"/>
      <c r="F222" s="10"/>
      <c r="G222" s="52"/>
      <c r="H222" s="10"/>
      <c r="I222" s="53"/>
      <c r="J222" s="54"/>
      <c r="K222" s="10"/>
      <c r="L222" s="10"/>
      <c r="M222" s="10"/>
    </row>
    <row r="223" ht="15.75" customHeight="1">
      <c r="A223" s="46"/>
      <c r="B223" s="10"/>
      <c r="C223" s="10"/>
      <c r="D223" s="10"/>
      <c r="E223" s="47"/>
      <c r="F223" s="10"/>
      <c r="G223" s="52"/>
      <c r="H223" s="10"/>
      <c r="I223" s="53"/>
      <c r="J223" s="54"/>
      <c r="K223" s="10"/>
      <c r="L223" s="10"/>
      <c r="M223" s="10"/>
    </row>
    <row r="224" ht="15.75" customHeight="1">
      <c r="A224" s="46"/>
      <c r="B224" s="10"/>
      <c r="C224" s="10"/>
      <c r="D224" s="10"/>
      <c r="E224" s="47"/>
      <c r="F224" s="10"/>
      <c r="G224" s="52"/>
      <c r="H224" s="10"/>
      <c r="I224" s="53"/>
      <c r="J224" s="54"/>
      <c r="K224" s="10"/>
      <c r="L224" s="10"/>
      <c r="M224" s="10"/>
    </row>
    <row r="225" ht="15.75" customHeight="1">
      <c r="A225" s="46"/>
      <c r="B225" s="10"/>
      <c r="C225" s="10"/>
      <c r="D225" s="10"/>
      <c r="E225" s="47"/>
      <c r="F225" s="10"/>
      <c r="G225" s="52"/>
      <c r="H225" s="10"/>
      <c r="I225" s="53"/>
      <c r="J225" s="54"/>
      <c r="K225" s="10"/>
      <c r="L225" s="10"/>
      <c r="M225" s="10"/>
    </row>
    <row r="226" ht="15.75" customHeight="1">
      <c r="A226" s="46"/>
      <c r="B226" s="10"/>
      <c r="C226" s="10"/>
      <c r="D226" s="10"/>
      <c r="E226" s="47"/>
      <c r="F226" s="10"/>
      <c r="G226" s="52"/>
      <c r="H226" s="10"/>
      <c r="I226" s="53"/>
      <c r="J226" s="54"/>
      <c r="K226" s="10"/>
      <c r="L226" s="10"/>
      <c r="M226" s="10"/>
    </row>
    <row r="227" ht="15.75" customHeight="1">
      <c r="A227" s="46"/>
      <c r="B227" s="10"/>
      <c r="C227" s="10"/>
      <c r="D227" s="10"/>
      <c r="E227" s="47"/>
      <c r="F227" s="10"/>
      <c r="G227" s="52"/>
      <c r="H227" s="10"/>
      <c r="I227" s="53"/>
      <c r="J227" s="54"/>
      <c r="K227" s="10"/>
      <c r="L227" s="10"/>
      <c r="M227" s="10"/>
    </row>
    <row r="228" ht="15.75" customHeight="1">
      <c r="A228" s="46"/>
      <c r="B228" s="10"/>
      <c r="C228" s="10"/>
      <c r="D228" s="10"/>
      <c r="E228" s="47"/>
      <c r="F228" s="10"/>
      <c r="G228" s="52"/>
      <c r="H228" s="10"/>
      <c r="I228" s="53"/>
      <c r="J228" s="54"/>
      <c r="K228" s="10"/>
      <c r="L228" s="10"/>
      <c r="M228" s="10"/>
      <c r="N228" s="55"/>
    </row>
    <row r="229" ht="15.75" customHeight="1">
      <c r="A229" s="46"/>
      <c r="B229" s="10"/>
      <c r="C229" s="10"/>
      <c r="D229" s="10"/>
      <c r="E229" s="47"/>
      <c r="F229" s="10"/>
      <c r="G229" s="52"/>
      <c r="H229" s="10"/>
      <c r="I229" s="53"/>
      <c r="J229" s="54"/>
      <c r="K229" s="10"/>
      <c r="L229" s="10"/>
      <c r="M229" s="10"/>
    </row>
    <row r="230" ht="15.75" customHeight="1">
      <c r="A230" s="46"/>
      <c r="B230" s="10"/>
      <c r="C230" s="10"/>
      <c r="D230" s="10"/>
      <c r="E230" s="47"/>
      <c r="F230" s="10"/>
      <c r="G230" s="52"/>
      <c r="H230" s="10"/>
      <c r="I230" s="53"/>
      <c r="J230" s="54"/>
      <c r="K230" s="10"/>
      <c r="L230" s="10"/>
      <c r="M230" s="10"/>
    </row>
    <row r="231" ht="15.75" customHeight="1">
      <c r="A231" s="46"/>
      <c r="B231" s="10"/>
      <c r="C231" s="10"/>
      <c r="D231" s="10"/>
      <c r="E231" s="47"/>
      <c r="F231" s="10"/>
      <c r="G231" s="52"/>
      <c r="H231" s="10"/>
      <c r="I231" s="53"/>
      <c r="J231" s="54"/>
      <c r="K231" s="10"/>
      <c r="L231" s="10"/>
      <c r="M231" s="10"/>
    </row>
    <row r="232" ht="15.75" customHeight="1">
      <c r="A232" s="46"/>
      <c r="B232" s="10"/>
      <c r="C232" s="10"/>
      <c r="D232" s="10"/>
      <c r="E232" s="47"/>
      <c r="F232" s="10"/>
      <c r="G232" s="52"/>
      <c r="H232" s="10"/>
      <c r="I232" s="53"/>
      <c r="J232" s="54"/>
      <c r="K232" s="10"/>
      <c r="L232" s="10"/>
      <c r="M232" s="10"/>
    </row>
    <row r="233" ht="15.75" customHeight="1">
      <c r="A233" s="46"/>
      <c r="B233" s="10"/>
      <c r="C233" s="10"/>
      <c r="D233" s="10"/>
      <c r="E233" s="47"/>
      <c r="F233" s="10"/>
      <c r="G233" s="52"/>
      <c r="H233" s="10"/>
      <c r="I233" s="53"/>
      <c r="J233" s="54"/>
      <c r="K233" s="10"/>
      <c r="L233" s="10"/>
      <c r="M233" s="10"/>
    </row>
    <row r="234" ht="15.75" customHeight="1">
      <c r="A234" s="46"/>
      <c r="B234" s="10"/>
      <c r="C234" s="10"/>
      <c r="D234" s="10"/>
      <c r="E234" s="47"/>
      <c r="F234" s="10"/>
      <c r="G234" s="52"/>
      <c r="H234" s="10"/>
      <c r="I234" s="53"/>
      <c r="J234" s="54"/>
      <c r="K234" s="10"/>
      <c r="L234" s="10"/>
      <c r="M234" s="10"/>
    </row>
    <row r="235" ht="15.75" customHeight="1">
      <c r="A235" s="46"/>
      <c r="B235" s="10"/>
      <c r="C235" s="10"/>
      <c r="D235" s="10"/>
      <c r="E235" s="47"/>
      <c r="F235" s="10"/>
      <c r="G235" s="52"/>
      <c r="H235" s="10"/>
      <c r="I235" s="53"/>
      <c r="J235" s="54"/>
      <c r="K235" s="10"/>
      <c r="L235" s="10"/>
      <c r="M235" s="10"/>
    </row>
    <row r="236" ht="15.75" customHeight="1">
      <c r="A236" s="46"/>
      <c r="B236" s="10"/>
      <c r="C236" s="10"/>
      <c r="D236" s="10"/>
      <c r="E236" s="47"/>
      <c r="F236" s="10"/>
      <c r="G236" s="52"/>
      <c r="H236" s="10"/>
      <c r="I236" s="53"/>
      <c r="J236" s="54"/>
      <c r="K236" s="10"/>
      <c r="L236" s="10"/>
      <c r="M236" s="10"/>
    </row>
    <row r="237" ht="15.75" customHeight="1">
      <c r="A237" s="46"/>
      <c r="B237" s="10"/>
      <c r="C237" s="10"/>
      <c r="D237" s="10"/>
      <c r="E237" s="47"/>
      <c r="F237" s="10"/>
      <c r="G237" s="52"/>
      <c r="H237" s="10"/>
      <c r="I237" s="53"/>
      <c r="J237" s="54"/>
      <c r="K237" s="10"/>
      <c r="L237" s="10"/>
      <c r="M237" s="10"/>
    </row>
    <row r="238" ht="15.75" customHeight="1">
      <c r="A238" s="46"/>
      <c r="B238" s="10"/>
      <c r="C238" s="10"/>
      <c r="D238" s="10"/>
      <c r="E238" s="47"/>
      <c r="F238" s="10"/>
      <c r="G238" s="52"/>
      <c r="H238" s="10"/>
      <c r="I238" s="53"/>
      <c r="J238" s="54"/>
      <c r="K238" s="10"/>
      <c r="L238" s="10"/>
      <c r="M238" s="10"/>
    </row>
    <row r="239" ht="15.75" customHeight="1">
      <c r="A239" s="46"/>
      <c r="B239" s="10"/>
      <c r="C239" s="10"/>
      <c r="D239" s="10"/>
      <c r="E239" s="47"/>
      <c r="F239" s="10"/>
      <c r="G239" s="52"/>
      <c r="H239" s="10"/>
      <c r="I239" s="53"/>
      <c r="J239" s="54"/>
      <c r="K239" s="10"/>
      <c r="L239" s="10"/>
      <c r="M239" s="10"/>
    </row>
    <row r="240" ht="15.75" customHeight="1">
      <c r="A240" s="46"/>
      <c r="B240" s="10"/>
      <c r="C240" s="10"/>
      <c r="D240" s="10"/>
      <c r="E240" s="47"/>
      <c r="F240" s="10"/>
      <c r="G240" s="52"/>
      <c r="H240" s="10"/>
      <c r="I240" s="53"/>
      <c r="J240" s="54"/>
      <c r="K240" s="10"/>
      <c r="L240" s="10"/>
      <c r="M240" s="10"/>
      <c r="N240" s="55"/>
    </row>
    <row r="241" ht="15.75" customHeight="1">
      <c r="A241" s="46"/>
      <c r="B241" s="10"/>
      <c r="C241" s="10"/>
      <c r="D241" s="10"/>
      <c r="E241" s="47"/>
      <c r="F241" s="10"/>
      <c r="G241" s="52"/>
      <c r="H241" s="10"/>
      <c r="I241" s="53"/>
      <c r="J241" s="54"/>
      <c r="K241" s="10"/>
      <c r="L241" s="10"/>
      <c r="M241" s="10"/>
    </row>
    <row r="242" ht="15.75" customHeight="1">
      <c r="A242" s="46"/>
      <c r="B242" s="10"/>
      <c r="C242" s="10"/>
      <c r="D242" s="10"/>
      <c r="E242" s="47"/>
      <c r="F242" s="10"/>
      <c r="G242" s="52"/>
      <c r="H242" s="10"/>
      <c r="I242" s="53"/>
      <c r="J242" s="54"/>
      <c r="K242" s="10"/>
      <c r="L242" s="10"/>
      <c r="M242" s="10"/>
    </row>
    <row r="243" ht="15.75" customHeight="1">
      <c r="A243" s="46"/>
      <c r="B243" s="10"/>
      <c r="C243" s="10"/>
      <c r="D243" s="10"/>
      <c r="E243" s="47"/>
      <c r="F243" s="10"/>
      <c r="G243" s="52"/>
      <c r="H243" s="10"/>
      <c r="I243" s="53"/>
      <c r="J243" s="54"/>
      <c r="K243" s="10"/>
      <c r="L243" s="10"/>
      <c r="M243" s="10"/>
    </row>
    <row r="244" ht="15.75" customHeight="1">
      <c r="A244" s="46"/>
      <c r="B244" s="10"/>
      <c r="C244" s="10"/>
      <c r="D244" s="10"/>
      <c r="E244" s="47"/>
      <c r="F244" s="10"/>
      <c r="G244" s="52"/>
      <c r="H244" s="10"/>
      <c r="I244" s="53"/>
      <c r="J244" s="54"/>
      <c r="K244" s="10"/>
      <c r="L244" s="10"/>
      <c r="M244" s="10"/>
    </row>
    <row r="245" ht="15.75" customHeight="1">
      <c r="A245" s="46"/>
      <c r="B245" s="10"/>
      <c r="C245" s="10"/>
      <c r="D245" s="10"/>
      <c r="E245" s="47"/>
      <c r="F245" s="10"/>
      <c r="G245" s="52"/>
      <c r="H245" s="10"/>
      <c r="I245" s="53"/>
      <c r="J245" s="54"/>
      <c r="K245" s="10"/>
      <c r="L245" s="10"/>
      <c r="M245" s="10"/>
    </row>
    <row r="246" ht="15.75" customHeight="1">
      <c r="A246" s="46"/>
      <c r="B246" s="10"/>
      <c r="C246" s="10"/>
      <c r="D246" s="10"/>
      <c r="E246" s="47"/>
      <c r="F246" s="10"/>
      <c r="G246" s="52"/>
      <c r="H246" s="10"/>
      <c r="I246" s="53"/>
      <c r="J246" s="54"/>
      <c r="K246" s="10"/>
      <c r="L246" s="10"/>
      <c r="M246" s="10"/>
    </row>
    <row r="247" ht="15.75" customHeight="1">
      <c r="A247" s="46"/>
      <c r="B247" s="10"/>
      <c r="C247" s="10"/>
      <c r="D247" s="10"/>
      <c r="E247" s="47"/>
      <c r="F247" s="10"/>
      <c r="G247" s="52"/>
      <c r="H247" s="10"/>
      <c r="I247" s="53"/>
      <c r="J247" s="54"/>
      <c r="K247" s="10"/>
      <c r="L247" s="10"/>
      <c r="M247" s="10"/>
    </row>
    <row r="248" ht="15.75" customHeight="1">
      <c r="A248" s="46"/>
      <c r="B248" s="10"/>
      <c r="C248" s="10"/>
      <c r="D248" s="10"/>
      <c r="E248" s="47"/>
      <c r="F248" s="10"/>
      <c r="G248" s="52"/>
      <c r="H248" s="10"/>
      <c r="I248" s="53"/>
      <c r="J248" s="54"/>
      <c r="K248" s="10"/>
      <c r="L248" s="10"/>
      <c r="M248" s="10"/>
    </row>
    <row r="249" ht="15.75" customHeight="1">
      <c r="A249" s="46"/>
      <c r="B249" s="10"/>
      <c r="C249" s="10"/>
      <c r="D249" s="10"/>
      <c r="E249" s="47"/>
      <c r="F249" s="10"/>
      <c r="G249" s="52"/>
      <c r="H249" s="10"/>
      <c r="I249" s="53"/>
      <c r="J249" s="54"/>
      <c r="K249" s="10"/>
      <c r="L249" s="10"/>
      <c r="M249" s="10"/>
    </row>
    <row r="250" ht="15.75" customHeight="1">
      <c r="A250" s="46"/>
      <c r="B250" s="10"/>
      <c r="C250" s="10"/>
      <c r="D250" s="10"/>
      <c r="E250" s="47"/>
      <c r="F250" s="10"/>
      <c r="G250" s="52"/>
      <c r="H250" s="10"/>
      <c r="I250" s="53"/>
      <c r="J250" s="54"/>
      <c r="K250" s="10"/>
      <c r="L250" s="10"/>
      <c r="M250" s="10"/>
    </row>
    <row r="251" ht="15.75" customHeight="1">
      <c r="A251" s="46"/>
      <c r="B251" s="10"/>
      <c r="C251" s="10"/>
      <c r="D251" s="10"/>
      <c r="E251" s="47"/>
      <c r="F251" s="10"/>
      <c r="G251" s="52"/>
      <c r="H251" s="10"/>
      <c r="I251" s="53"/>
      <c r="J251" s="54"/>
      <c r="K251" s="10"/>
      <c r="L251" s="10"/>
      <c r="M251" s="10"/>
    </row>
    <row r="252" ht="15.75" customHeight="1">
      <c r="A252" s="46"/>
      <c r="B252" s="10"/>
      <c r="C252" s="10"/>
      <c r="D252" s="10"/>
      <c r="E252" s="47"/>
      <c r="F252" s="10"/>
      <c r="G252" s="52"/>
      <c r="H252" s="10"/>
      <c r="I252" s="53"/>
      <c r="J252" s="54"/>
      <c r="K252" s="10"/>
      <c r="L252" s="10"/>
      <c r="M252" s="10"/>
    </row>
    <row r="253" ht="15.75" customHeight="1">
      <c r="A253" s="46"/>
      <c r="B253" s="10"/>
      <c r="C253" s="10"/>
      <c r="D253" s="10"/>
      <c r="E253" s="47"/>
      <c r="F253" s="10"/>
      <c r="G253" s="52"/>
      <c r="H253" s="10"/>
      <c r="I253" s="53"/>
      <c r="J253" s="54"/>
      <c r="K253" s="10"/>
      <c r="L253" s="10"/>
      <c r="M253" s="10"/>
    </row>
    <row r="254" ht="15.75" customHeight="1">
      <c r="A254" s="46"/>
      <c r="B254" s="10"/>
      <c r="C254" s="10"/>
      <c r="D254" s="10"/>
      <c r="E254" s="47"/>
      <c r="F254" s="10"/>
      <c r="G254" s="52"/>
      <c r="H254" s="10"/>
      <c r="I254" s="53"/>
      <c r="J254" s="54"/>
      <c r="K254" s="10"/>
      <c r="L254" s="10"/>
      <c r="M254" s="10"/>
    </row>
    <row r="255" ht="15.75" customHeight="1">
      <c r="A255" s="46"/>
      <c r="B255" s="10"/>
      <c r="C255" s="10"/>
      <c r="D255" s="10"/>
      <c r="E255" s="47"/>
      <c r="F255" s="10"/>
      <c r="G255" s="52"/>
      <c r="H255" s="10"/>
      <c r="I255" s="53"/>
      <c r="J255" s="54"/>
      <c r="K255" s="10"/>
      <c r="L255" s="10"/>
      <c r="M255" s="10"/>
    </row>
    <row r="256" ht="15.75" customHeight="1">
      <c r="A256" s="46"/>
      <c r="B256" s="10"/>
      <c r="C256" s="10"/>
      <c r="D256" s="10"/>
      <c r="E256" s="47"/>
      <c r="F256" s="10"/>
      <c r="G256" s="52"/>
      <c r="H256" s="10"/>
      <c r="I256" s="53"/>
      <c r="J256" s="54"/>
      <c r="K256" s="10"/>
      <c r="L256" s="10"/>
      <c r="M256" s="10"/>
    </row>
    <row r="257" ht="15.75" customHeight="1">
      <c r="A257" s="46"/>
      <c r="B257" s="10"/>
      <c r="C257" s="10"/>
      <c r="D257" s="10"/>
      <c r="E257" s="47"/>
      <c r="F257" s="10"/>
      <c r="G257" s="52"/>
      <c r="H257" s="10"/>
      <c r="I257" s="53"/>
      <c r="J257" s="54"/>
      <c r="K257" s="10"/>
      <c r="L257" s="10"/>
      <c r="M257" s="10"/>
    </row>
    <row r="258" ht="15.75" customHeight="1">
      <c r="A258" s="46"/>
      <c r="B258" s="10"/>
      <c r="C258" s="10"/>
      <c r="D258" s="10"/>
      <c r="E258" s="47"/>
      <c r="F258" s="10"/>
      <c r="G258" s="52"/>
      <c r="H258" s="10"/>
      <c r="I258" s="53"/>
      <c r="J258" s="54"/>
      <c r="K258" s="10"/>
      <c r="L258" s="10"/>
      <c r="M258" s="10"/>
    </row>
    <row r="259" ht="15.75" customHeight="1">
      <c r="A259" s="46"/>
      <c r="B259" s="10"/>
      <c r="C259" s="10"/>
      <c r="D259" s="10"/>
      <c r="E259" s="47"/>
      <c r="F259" s="10"/>
      <c r="G259" s="52"/>
      <c r="H259" s="10"/>
      <c r="I259" s="53"/>
      <c r="J259" s="54"/>
      <c r="K259" s="10"/>
      <c r="L259" s="10"/>
      <c r="M259" s="10"/>
    </row>
    <row r="260" ht="15.75" customHeight="1">
      <c r="A260" s="46"/>
      <c r="B260" s="10"/>
      <c r="C260" s="10"/>
      <c r="D260" s="10"/>
      <c r="E260" s="47"/>
      <c r="F260" s="10"/>
      <c r="G260" s="52"/>
      <c r="H260" s="10"/>
      <c r="I260" s="53"/>
      <c r="J260" s="54"/>
      <c r="K260" s="10"/>
      <c r="L260" s="10"/>
      <c r="M260" s="10"/>
    </row>
    <row r="261" ht="15.75" customHeight="1">
      <c r="A261" s="46"/>
      <c r="B261" s="10"/>
      <c r="C261" s="10"/>
      <c r="D261" s="10"/>
      <c r="E261" s="47"/>
      <c r="F261" s="10"/>
      <c r="G261" s="52"/>
      <c r="H261" s="10"/>
      <c r="I261" s="53"/>
      <c r="J261" s="54"/>
      <c r="K261" s="10"/>
      <c r="L261" s="10"/>
      <c r="M261" s="10"/>
    </row>
    <row r="262" ht="15.75" customHeight="1">
      <c r="A262" s="46"/>
      <c r="B262" s="10"/>
      <c r="C262" s="10"/>
      <c r="D262" s="10"/>
      <c r="E262" s="47"/>
      <c r="F262" s="10"/>
      <c r="G262" s="52"/>
      <c r="H262" s="10"/>
      <c r="I262" s="53"/>
      <c r="J262" s="54"/>
      <c r="K262" s="10"/>
      <c r="L262" s="10"/>
      <c r="M262" s="10"/>
    </row>
    <row r="263" ht="15.75" customHeight="1">
      <c r="A263" s="46"/>
      <c r="B263" s="10"/>
      <c r="C263" s="10"/>
      <c r="D263" s="10"/>
      <c r="E263" s="47"/>
      <c r="F263" s="10"/>
      <c r="G263" s="52"/>
      <c r="H263" s="10"/>
      <c r="I263" s="53"/>
      <c r="J263" s="54"/>
      <c r="K263" s="10"/>
      <c r="L263" s="10"/>
      <c r="M263" s="10"/>
    </row>
    <row r="264" ht="15.75" customHeight="1">
      <c r="A264" s="46"/>
      <c r="B264" s="10"/>
      <c r="C264" s="10"/>
      <c r="D264" s="10"/>
      <c r="E264" s="47"/>
      <c r="F264" s="10"/>
      <c r="G264" s="52"/>
      <c r="H264" s="10"/>
      <c r="I264" s="53"/>
      <c r="J264" s="54"/>
      <c r="K264" s="10"/>
      <c r="L264" s="10"/>
      <c r="M264" s="10"/>
    </row>
    <row r="265" ht="15.75" customHeight="1">
      <c r="A265" s="46"/>
      <c r="B265" s="10"/>
      <c r="C265" s="10"/>
      <c r="D265" s="10"/>
      <c r="E265" s="47"/>
      <c r="F265" s="10"/>
      <c r="G265" s="52"/>
      <c r="H265" s="10"/>
      <c r="I265" s="53"/>
      <c r="J265" s="54"/>
      <c r="K265" s="10"/>
      <c r="L265" s="10"/>
      <c r="M265" s="10"/>
    </row>
    <row r="266" ht="15.75" customHeight="1">
      <c r="A266" s="46"/>
      <c r="B266" s="10"/>
      <c r="C266" s="10"/>
      <c r="D266" s="10"/>
      <c r="E266" s="47"/>
      <c r="F266" s="10"/>
      <c r="G266" s="52"/>
      <c r="H266" s="10"/>
      <c r="I266" s="53"/>
      <c r="J266" s="54"/>
      <c r="K266" s="10"/>
      <c r="L266" s="10"/>
      <c r="M266" s="10"/>
    </row>
    <row r="267" ht="15.75" customHeight="1">
      <c r="A267" s="46"/>
      <c r="B267" s="10"/>
      <c r="C267" s="10"/>
      <c r="D267" s="10"/>
      <c r="E267" s="47"/>
      <c r="F267" s="10"/>
      <c r="G267" s="52"/>
      <c r="H267" s="10"/>
      <c r="I267" s="53"/>
      <c r="J267" s="54"/>
      <c r="K267" s="10"/>
      <c r="L267" s="10"/>
      <c r="M267" s="10"/>
    </row>
    <row r="268" ht="15.75" customHeight="1">
      <c r="A268" s="46"/>
      <c r="B268" s="10"/>
      <c r="C268" s="10"/>
      <c r="D268" s="10"/>
      <c r="E268" s="47"/>
      <c r="F268" s="10"/>
      <c r="G268" s="52"/>
      <c r="H268" s="10"/>
      <c r="I268" s="53"/>
      <c r="J268" s="54"/>
      <c r="K268" s="10"/>
      <c r="L268" s="10"/>
      <c r="M268" s="10"/>
    </row>
    <row r="269" ht="15.75" customHeight="1">
      <c r="A269" s="46"/>
      <c r="B269" s="10"/>
      <c r="C269" s="10"/>
      <c r="D269" s="10"/>
      <c r="E269" s="47"/>
      <c r="F269" s="10"/>
      <c r="G269" s="52"/>
      <c r="H269" s="10"/>
      <c r="I269" s="53"/>
      <c r="J269" s="54"/>
      <c r="K269" s="10"/>
      <c r="L269" s="10"/>
      <c r="M269" s="10"/>
    </row>
    <row r="270" ht="15.75" customHeight="1">
      <c r="A270" s="46"/>
      <c r="B270" s="10"/>
      <c r="C270" s="10"/>
      <c r="D270" s="10"/>
      <c r="E270" s="47"/>
      <c r="F270" s="10"/>
      <c r="G270" s="52"/>
      <c r="H270" s="10"/>
      <c r="I270" s="53"/>
      <c r="J270" s="54"/>
      <c r="K270" s="10"/>
      <c r="L270" s="10"/>
      <c r="M270" s="10"/>
    </row>
    <row r="271" ht="15.75" customHeight="1">
      <c r="A271" s="46"/>
      <c r="B271" s="10"/>
      <c r="C271" s="10"/>
      <c r="D271" s="10"/>
      <c r="E271" s="47"/>
      <c r="F271" s="10"/>
      <c r="G271" s="52"/>
      <c r="H271" s="10"/>
      <c r="I271" s="53"/>
      <c r="J271" s="54"/>
      <c r="K271" s="10"/>
      <c r="L271" s="10"/>
      <c r="M271" s="10"/>
    </row>
    <row r="272" ht="15.75" customHeight="1">
      <c r="A272" s="46"/>
      <c r="B272" s="10"/>
      <c r="C272" s="10"/>
      <c r="D272" s="10"/>
      <c r="E272" s="47"/>
      <c r="F272" s="10"/>
      <c r="G272" s="52"/>
      <c r="H272" s="10"/>
      <c r="I272" s="53"/>
      <c r="J272" s="54"/>
      <c r="K272" s="10"/>
      <c r="L272" s="10"/>
      <c r="M272" s="10"/>
    </row>
    <row r="273" ht="15.75" customHeight="1">
      <c r="A273" s="46"/>
      <c r="B273" s="10"/>
      <c r="C273" s="10"/>
      <c r="D273" s="10"/>
      <c r="E273" s="47"/>
      <c r="F273" s="10"/>
      <c r="G273" s="52"/>
      <c r="H273" s="10"/>
      <c r="I273" s="53"/>
      <c r="J273" s="54"/>
      <c r="K273" s="10"/>
      <c r="L273" s="10"/>
      <c r="M273" s="10"/>
    </row>
    <row r="274" ht="15.75" customHeight="1">
      <c r="A274" s="46"/>
      <c r="B274" s="10"/>
      <c r="C274" s="10"/>
      <c r="D274" s="10"/>
      <c r="E274" s="47"/>
      <c r="F274" s="10"/>
      <c r="G274" s="52"/>
      <c r="H274" s="10"/>
      <c r="I274" s="53"/>
      <c r="J274" s="54"/>
      <c r="K274" s="10"/>
      <c r="L274" s="10"/>
      <c r="M274" s="10"/>
    </row>
    <row r="275" ht="15.75" customHeight="1">
      <c r="A275" s="46"/>
      <c r="B275" s="10"/>
      <c r="C275" s="10"/>
      <c r="D275" s="10"/>
      <c r="E275" s="47"/>
      <c r="F275" s="10"/>
      <c r="G275" s="52"/>
      <c r="H275" s="10"/>
      <c r="I275" s="53"/>
      <c r="J275" s="54"/>
      <c r="K275" s="10"/>
      <c r="L275" s="10"/>
      <c r="M275" s="10"/>
    </row>
    <row r="276" ht="15.75" customHeight="1">
      <c r="A276" s="46"/>
      <c r="B276" s="10"/>
      <c r="C276" s="10"/>
      <c r="D276" s="10"/>
      <c r="E276" s="47"/>
      <c r="F276" s="10"/>
      <c r="G276" s="52"/>
      <c r="H276" s="10"/>
      <c r="I276" s="53"/>
      <c r="J276" s="54"/>
      <c r="K276" s="10"/>
      <c r="L276" s="10"/>
      <c r="M276" s="10"/>
    </row>
    <row r="277" ht="15.75" customHeight="1">
      <c r="A277" s="46"/>
      <c r="B277" s="10"/>
      <c r="C277" s="10"/>
      <c r="D277" s="10"/>
      <c r="E277" s="47"/>
      <c r="F277" s="10"/>
      <c r="G277" s="52"/>
      <c r="H277" s="10"/>
      <c r="I277" s="53"/>
      <c r="J277" s="54"/>
      <c r="K277" s="10"/>
      <c r="L277" s="10"/>
      <c r="M277" s="10"/>
    </row>
    <row r="278" ht="15.75" customHeight="1">
      <c r="A278" s="46"/>
      <c r="B278" s="10"/>
      <c r="C278" s="10"/>
      <c r="D278" s="10"/>
      <c r="E278" s="47"/>
      <c r="F278" s="10"/>
      <c r="G278" s="52"/>
      <c r="H278" s="10"/>
      <c r="I278" s="53"/>
      <c r="J278" s="54"/>
      <c r="K278" s="10"/>
      <c r="L278" s="10"/>
      <c r="M278" s="10"/>
    </row>
    <row r="279" ht="15.75" customHeight="1">
      <c r="A279" s="46"/>
      <c r="B279" s="10"/>
      <c r="C279" s="10"/>
      <c r="D279" s="10"/>
      <c r="E279" s="47"/>
      <c r="F279" s="10"/>
      <c r="G279" s="52"/>
      <c r="H279" s="10"/>
      <c r="I279" s="53"/>
      <c r="J279" s="54"/>
      <c r="K279" s="10"/>
      <c r="L279" s="10"/>
      <c r="M279" s="10"/>
    </row>
    <row r="280" ht="15.75" customHeight="1">
      <c r="A280" s="46"/>
      <c r="B280" s="10"/>
      <c r="C280" s="10"/>
      <c r="D280" s="10"/>
      <c r="E280" s="47"/>
      <c r="F280" s="10"/>
      <c r="G280" s="52"/>
      <c r="H280" s="10"/>
      <c r="I280" s="53"/>
      <c r="J280" s="54"/>
      <c r="K280" s="10"/>
      <c r="L280" s="10"/>
      <c r="M280" s="10"/>
    </row>
    <row r="281" ht="15.75" customHeight="1">
      <c r="A281" s="46"/>
      <c r="B281" s="10"/>
      <c r="C281" s="10"/>
      <c r="D281" s="10"/>
      <c r="E281" s="47"/>
      <c r="F281" s="10"/>
      <c r="G281" s="52"/>
      <c r="H281" s="10"/>
      <c r="I281" s="53"/>
      <c r="J281" s="54"/>
      <c r="K281" s="10"/>
      <c r="L281" s="10"/>
      <c r="M281" s="10"/>
    </row>
    <row r="282" ht="15.75" customHeight="1">
      <c r="A282" s="46"/>
      <c r="B282" s="10"/>
      <c r="C282" s="10"/>
      <c r="D282" s="10"/>
      <c r="E282" s="47"/>
      <c r="F282" s="10"/>
      <c r="G282" s="52"/>
      <c r="H282" s="10"/>
      <c r="I282" s="53"/>
      <c r="J282" s="54"/>
      <c r="K282" s="10"/>
      <c r="L282" s="10"/>
      <c r="M282" s="10"/>
    </row>
    <row r="283" ht="15.75" customHeight="1">
      <c r="A283" s="46"/>
      <c r="B283" s="10"/>
      <c r="C283" s="10"/>
      <c r="D283" s="10"/>
      <c r="E283" s="47"/>
      <c r="F283" s="10"/>
      <c r="G283" s="52"/>
      <c r="H283" s="10"/>
      <c r="I283" s="53"/>
      <c r="J283" s="54"/>
      <c r="K283" s="10"/>
      <c r="L283" s="10"/>
      <c r="M283" s="10"/>
    </row>
    <row r="284" ht="15.75" customHeight="1">
      <c r="A284" s="46"/>
      <c r="B284" s="10"/>
      <c r="C284" s="10"/>
      <c r="D284" s="10"/>
      <c r="E284" s="47"/>
      <c r="F284" s="10"/>
      <c r="G284" s="52"/>
      <c r="H284" s="10"/>
      <c r="I284" s="53"/>
      <c r="J284" s="54"/>
      <c r="K284" s="10"/>
      <c r="L284" s="10"/>
      <c r="M284" s="10"/>
    </row>
    <row r="285" ht="15.75" customHeight="1">
      <c r="A285" s="46"/>
      <c r="B285" s="10"/>
      <c r="C285" s="10"/>
      <c r="D285" s="10"/>
      <c r="E285" s="47"/>
      <c r="F285" s="10"/>
      <c r="G285" s="52"/>
      <c r="H285" s="10"/>
      <c r="I285" s="53"/>
      <c r="J285" s="54"/>
      <c r="K285" s="10"/>
      <c r="L285" s="10"/>
      <c r="M285" s="10"/>
    </row>
    <row r="286" ht="15.75" customHeight="1">
      <c r="A286" s="46"/>
      <c r="B286" s="10"/>
      <c r="C286" s="10"/>
      <c r="D286" s="10"/>
      <c r="E286" s="47"/>
      <c r="F286" s="10"/>
      <c r="G286" s="52"/>
      <c r="H286" s="10"/>
      <c r="I286" s="53"/>
      <c r="J286" s="54"/>
      <c r="K286" s="10"/>
      <c r="L286" s="10"/>
      <c r="M286" s="10"/>
    </row>
    <row r="287" ht="15.75" customHeight="1">
      <c r="A287" s="46"/>
      <c r="B287" s="10"/>
      <c r="C287" s="10"/>
      <c r="D287" s="10"/>
      <c r="E287" s="47"/>
      <c r="F287" s="10"/>
      <c r="G287" s="52"/>
      <c r="H287" s="10"/>
      <c r="I287" s="53"/>
      <c r="J287" s="54"/>
      <c r="K287" s="10"/>
      <c r="L287" s="10"/>
      <c r="M287" s="10"/>
    </row>
    <row r="288" ht="15.75" customHeight="1">
      <c r="A288" s="46"/>
      <c r="B288" s="10"/>
      <c r="C288" s="10"/>
      <c r="D288" s="10"/>
      <c r="E288" s="47"/>
      <c r="F288" s="10"/>
      <c r="G288" s="52"/>
      <c r="H288" s="10"/>
      <c r="I288" s="53"/>
      <c r="J288" s="54"/>
      <c r="K288" s="10"/>
      <c r="L288" s="10"/>
      <c r="M288" s="10"/>
    </row>
    <row r="289" ht="15.75" customHeight="1">
      <c r="A289" s="46"/>
      <c r="B289" s="10"/>
      <c r="C289" s="10"/>
      <c r="D289" s="10"/>
      <c r="E289" s="47"/>
      <c r="F289" s="10"/>
      <c r="G289" s="52"/>
      <c r="H289" s="10"/>
      <c r="I289" s="53"/>
      <c r="J289" s="54"/>
      <c r="K289" s="10"/>
      <c r="L289" s="10"/>
      <c r="M289" s="10"/>
    </row>
    <row r="290" ht="15.75" customHeight="1">
      <c r="A290" s="46"/>
      <c r="B290" s="10"/>
      <c r="C290" s="10"/>
      <c r="D290" s="10"/>
      <c r="E290" s="47"/>
      <c r="F290" s="10"/>
      <c r="G290" s="52"/>
      <c r="H290" s="10"/>
      <c r="I290" s="53"/>
      <c r="J290" s="54"/>
      <c r="K290" s="10"/>
      <c r="L290" s="10"/>
      <c r="M290" s="10"/>
    </row>
    <row r="291" ht="15.75" customHeight="1">
      <c r="A291" s="46"/>
      <c r="B291" s="10"/>
      <c r="C291" s="10"/>
      <c r="D291" s="10"/>
      <c r="E291" s="47"/>
      <c r="F291" s="10"/>
      <c r="G291" s="52"/>
      <c r="H291" s="10"/>
      <c r="I291" s="53"/>
      <c r="J291" s="54"/>
      <c r="K291" s="10"/>
      <c r="L291" s="10"/>
      <c r="M291" s="10"/>
    </row>
    <row r="292" ht="15.75" customHeight="1">
      <c r="A292" s="46"/>
      <c r="B292" s="10"/>
      <c r="C292" s="10"/>
      <c r="D292" s="10"/>
      <c r="E292" s="47"/>
      <c r="F292" s="10"/>
      <c r="G292" s="52"/>
      <c r="H292" s="10"/>
      <c r="I292" s="53"/>
      <c r="J292" s="54"/>
      <c r="K292" s="10"/>
      <c r="L292" s="10"/>
      <c r="M292" s="10"/>
    </row>
    <row r="293" ht="15.75" customHeight="1">
      <c r="A293" s="46"/>
      <c r="B293" s="10"/>
      <c r="C293" s="10"/>
      <c r="D293" s="10"/>
      <c r="E293" s="47"/>
      <c r="F293" s="10"/>
      <c r="G293" s="52"/>
      <c r="H293" s="10"/>
      <c r="I293" s="53"/>
      <c r="J293" s="54"/>
      <c r="K293" s="10"/>
      <c r="L293" s="10"/>
      <c r="M293" s="10"/>
    </row>
    <row r="294" ht="15.75" customHeight="1">
      <c r="A294" s="46"/>
      <c r="B294" s="10"/>
      <c r="C294" s="10"/>
      <c r="D294" s="10"/>
      <c r="E294" s="47"/>
      <c r="F294" s="10"/>
      <c r="G294" s="52"/>
      <c r="H294" s="10"/>
      <c r="I294" s="53"/>
      <c r="J294" s="54"/>
      <c r="K294" s="10"/>
      <c r="L294" s="10"/>
      <c r="M294" s="10"/>
    </row>
    <row r="295" ht="15.75" customHeight="1">
      <c r="A295" s="46"/>
      <c r="B295" s="10"/>
      <c r="C295" s="10"/>
      <c r="D295" s="10"/>
      <c r="E295" s="47"/>
      <c r="F295" s="10"/>
      <c r="G295" s="52"/>
      <c r="H295" s="10"/>
      <c r="I295" s="53"/>
      <c r="J295" s="54"/>
      <c r="K295" s="10"/>
      <c r="L295" s="10"/>
      <c r="M295" s="10"/>
    </row>
    <row r="296" ht="15.75" customHeight="1">
      <c r="A296" s="46"/>
      <c r="B296" s="10"/>
      <c r="C296" s="10"/>
      <c r="D296" s="10"/>
      <c r="E296" s="47"/>
      <c r="F296" s="10"/>
      <c r="G296" s="52"/>
      <c r="H296" s="10"/>
      <c r="I296" s="53"/>
      <c r="J296" s="54"/>
      <c r="K296" s="10"/>
      <c r="L296" s="10"/>
      <c r="M296" s="10"/>
    </row>
    <row r="297" ht="15.75" customHeight="1">
      <c r="A297" s="46"/>
      <c r="B297" s="10"/>
      <c r="C297" s="10"/>
      <c r="D297" s="10"/>
      <c r="E297" s="47"/>
      <c r="F297" s="10"/>
      <c r="G297" s="52"/>
      <c r="H297" s="10"/>
      <c r="I297" s="53"/>
      <c r="J297" s="54"/>
      <c r="K297" s="10"/>
      <c r="L297" s="10"/>
      <c r="M297" s="10"/>
    </row>
    <row r="298" ht="15.75" customHeight="1">
      <c r="A298" s="46"/>
      <c r="B298" s="10"/>
      <c r="C298" s="10"/>
      <c r="D298" s="10"/>
      <c r="E298" s="47"/>
      <c r="F298" s="10"/>
      <c r="G298" s="52"/>
      <c r="H298" s="10"/>
      <c r="I298" s="53"/>
      <c r="J298" s="54"/>
      <c r="K298" s="10"/>
      <c r="L298" s="10"/>
      <c r="M298" s="10"/>
    </row>
    <row r="299" ht="15.75" customHeight="1">
      <c r="A299" s="46"/>
      <c r="B299" s="10"/>
      <c r="C299" s="10"/>
      <c r="D299" s="10"/>
      <c r="E299" s="47"/>
      <c r="F299" s="10"/>
      <c r="G299" s="52"/>
      <c r="H299" s="10"/>
      <c r="I299" s="53"/>
      <c r="J299" s="54"/>
      <c r="K299" s="10"/>
      <c r="L299" s="10"/>
      <c r="M299" s="10"/>
    </row>
    <row r="300" ht="15.75" customHeight="1">
      <c r="A300" s="46"/>
      <c r="B300" s="10"/>
      <c r="C300" s="10"/>
      <c r="D300" s="10"/>
      <c r="E300" s="47"/>
      <c r="F300" s="10"/>
      <c r="G300" s="52"/>
      <c r="H300" s="10"/>
      <c r="I300" s="53"/>
      <c r="J300" s="54"/>
      <c r="K300" s="10"/>
      <c r="L300" s="10"/>
      <c r="M300" s="10"/>
    </row>
    <row r="301" ht="15.75" customHeight="1">
      <c r="A301" s="46"/>
      <c r="B301" s="10"/>
      <c r="C301" s="10"/>
      <c r="D301" s="10"/>
      <c r="E301" s="47"/>
      <c r="F301" s="10"/>
      <c r="G301" s="52"/>
      <c r="H301" s="10"/>
      <c r="I301" s="53"/>
      <c r="J301" s="54"/>
      <c r="K301" s="10"/>
      <c r="L301" s="10"/>
      <c r="M301" s="10"/>
    </row>
    <row r="302" ht="15.75" customHeight="1">
      <c r="A302" s="46"/>
      <c r="B302" s="10"/>
      <c r="C302" s="10"/>
      <c r="D302" s="10"/>
      <c r="E302" s="47"/>
      <c r="F302" s="10"/>
      <c r="G302" s="52"/>
      <c r="H302" s="10"/>
      <c r="I302" s="53"/>
      <c r="J302" s="54"/>
      <c r="K302" s="10"/>
      <c r="L302" s="10"/>
      <c r="M302" s="10"/>
    </row>
    <row r="303" ht="15.75" customHeight="1">
      <c r="A303" s="46"/>
      <c r="B303" s="10"/>
      <c r="C303" s="10"/>
      <c r="D303" s="10"/>
      <c r="E303" s="47"/>
      <c r="F303" s="10"/>
      <c r="G303" s="52"/>
      <c r="H303" s="10"/>
      <c r="I303" s="53"/>
      <c r="J303" s="54"/>
      <c r="K303" s="10"/>
      <c r="L303" s="10"/>
      <c r="M303" s="10"/>
    </row>
    <row r="304" ht="15.75" customHeight="1">
      <c r="A304" s="46"/>
      <c r="B304" s="10"/>
      <c r="C304" s="10"/>
      <c r="D304" s="10"/>
      <c r="E304" s="47"/>
      <c r="F304" s="10"/>
      <c r="G304" s="52"/>
      <c r="H304" s="10"/>
      <c r="I304" s="53"/>
      <c r="J304" s="54"/>
      <c r="K304" s="10"/>
      <c r="L304" s="10"/>
      <c r="M304" s="10"/>
    </row>
    <row r="305" ht="15.75" customHeight="1">
      <c r="A305" s="46"/>
      <c r="B305" s="10"/>
      <c r="C305" s="10"/>
      <c r="D305" s="10"/>
      <c r="E305" s="47"/>
      <c r="F305" s="10"/>
      <c r="G305" s="52"/>
      <c r="H305" s="10"/>
      <c r="I305" s="53"/>
      <c r="J305" s="54"/>
      <c r="K305" s="10"/>
      <c r="L305" s="10"/>
      <c r="M305" s="10"/>
    </row>
    <row r="306" ht="15.75" customHeight="1">
      <c r="A306" s="46"/>
      <c r="B306" s="10"/>
      <c r="C306" s="10"/>
      <c r="D306" s="10"/>
      <c r="E306" s="47"/>
      <c r="F306" s="10"/>
      <c r="G306" s="52"/>
      <c r="H306" s="10"/>
      <c r="I306" s="53"/>
      <c r="J306" s="54"/>
      <c r="K306" s="10"/>
      <c r="L306" s="10"/>
      <c r="M306" s="10"/>
    </row>
    <row r="307" ht="15.75" customHeight="1">
      <c r="A307" s="46"/>
      <c r="B307" s="10"/>
      <c r="C307" s="10"/>
      <c r="D307" s="10"/>
      <c r="E307" s="47"/>
      <c r="F307" s="10"/>
      <c r="G307" s="52"/>
      <c r="H307" s="10"/>
      <c r="I307" s="53"/>
      <c r="J307" s="54"/>
      <c r="K307" s="10"/>
      <c r="L307" s="10"/>
      <c r="M307" s="10"/>
    </row>
    <row r="308" ht="15.75" customHeight="1">
      <c r="A308" s="46"/>
      <c r="B308" s="10"/>
      <c r="C308" s="10"/>
      <c r="D308" s="10"/>
      <c r="E308" s="47"/>
      <c r="F308" s="10"/>
      <c r="G308" s="52"/>
      <c r="H308" s="10"/>
      <c r="I308" s="53"/>
      <c r="J308" s="54"/>
      <c r="K308" s="10"/>
      <c r="L308" s="10"/>
      <c r="M308" s="10"/>
    </row>
    <row r="309" ht="15.75" customHeight="1">
      <c r="A309" s="46"/>
      <c r="B309" s="10"/>
      <c r="C309" s="10"/>
      <c r="D309" s="10"/>
      <c r="E309" s="47"/>
      <c r="F309" s="10"/>
      <c r="G309" s="52"/>
      <c r="H309" s="10"/>
      <c r="I309" s="53"/>
      <c r="J309" s="54"/>
      <c r="K309" s="10"/>
      <c r="L309" s="10"/>
      <c r="M309" s="10"/>
    </row>
    <row r="310" ht="15.75" customHeight="1">
      <c r="A310" s="46"/>
      <c r="B310" s="10"/>
      <c r="C310" s="10"/>
      <c r="D310" s="10"/>
      <c r="E310" s="47"/>
      <c r="F310" s="10"/>
      <c r="G310" s="52"/>
      <c r="H310" s="10"/>
      <c r="I310" s="53"/>
      <c r="J310" s="54"/>
      <c r="K310" s="10"/>
      <c r="L310" s="10"/>
      <c r="M310" s="10"/>
    </row>
    <row r="311" ht="15.75" customHeight="1">
      <c r="A311" s="46"/>
      <c r="B311" s="10"/>
      <c r="C311" s="10"/>
      <c r="D311" s="10"/>
      <c r="E311" s="47"/>
      <c r="F311" s="10"/>
      <c r="G311" s="52"/>
      <c r="H311" s="10"/>
      <c r="I311" s="53"/>
      <c r="J311" s="54"/>
      <c r="K311" s="10"/>
      <c r="L311" s="10"/>
      <c r="M311" s="10"/>
    </row>
    <row r="312" ht="15.75" customHeight="1">
      <c r="A312" s="46"/>
      <c r="B312" s="10"/>
      <c r="C312" s="10"/>
      <c r="D312" s="10"/>
      <c r="E312" s="47"/>
      <c r="F312" s="10"/>
      <c r="G312" s="52"/>
      <c r="H312" s="10"/>
      <c r="I312" s="53"/>
      <c r="J312" s="54"/>
      <c r="K312" s="10"/>
      <c r="L312" s="10"/>
      <c r="M312" s="10"/>
    </row>
    <row r="313" ht="15.75" customHeight="1">
      <c r="A313" s="46"/>
      <c r="B313" s="10"/>
      <c r="C313" s="10"/>
      <c r="D313" s="10"/>
      <c r="E313" s="47"/>
      <c r="F313" s="10"/>
      <c r="G313" s="52"/>
      <c r="H313" s="10"/>
      <c r="I313" s="53"/>
      <c r="J313" s="54"/>
      <c r="K313" s="10"/>
      <c r="L313" s="10"/>
      <c r="M313" s="10"/>
    </row>
    <row r="314" ht="15.75" customHeight="1">
      <c r="A314" s="46"/>
      <c r="B314" s="10"/>
      <c r="C314" s="10"/>
      <c r="D314" s="10"/>
      <c r="E314" s="47"/>
      <c r="F314" s="10"/>
      <c r="G314" s="52"/>
      <c r="H314" s="10"/>
      <c r="I314" s="53"/>
      <c r="J314" s="54"/>
      <c r="K314" s="10"/>
      <c r="L314" s="10"/>
      <c r="M314" s="10"/>
    </row>
    <row r="315" ht="15.75" customHeight="1">
      <c r="A315" s="46"/>
      <c r="B315" s="10"/>
      <c r="C315" s="10"/>
      <c r="D315" s="10"/>
      <c r="E315" s="47"/>
      <c r="F315" s="10"/>
      <c r="G315" s="52"/>
      <c r="H315" s="10"/>
      <c r="I315" s="53"/>
      <c r="J315" s="54"/>
      <c r="K315" s="10"/>
      <c r="L315" s="10"/>
      <c r="M315" s="10"/>
    </row>
    <row r="316" ht="15.75" customHeight="1">
      <c r="A316" s="46"/>
      <c r="B316" s="10"/>
      <c r="C316" s="10"/>
      <c r="D316" s="10"/>
      <c r="E316" s="47"/>
      <c r="F316" s="10"/>
      <c r="G316" s="52"/>
      <c r="H316" s="10"/>
      <c r="I316" s="53"/>
      <c r="J316" s="54"/>
      <c r="K316" s="10"/>
      <c r="L316" s="10"/>
      <c r="M316" s="10"/>
    </row>
    <row r="317" ht="15.75" customHeight="1">
      <c r="A317" s="46"/>
      <c r="B317" s="10"/>
      <c r="C317" s="10"/>
      <c r="D317" s="10"/>
      <c r="E317" s="47"/>
      <c r="F317" s="10"/>
      <c r="G317" s="52"/>
      <c r="H317" s="10"/>
      <c r="I317" s="53"/>
      <c r="J317" s="54"/>
      <c r="K317" s="10"/>
      <c r="L317" s="10"/>
      <c r="M317" s="10"/>
    </row>
    <row r="318" ht="15.75" customHeight="1">
      <c r="A318" s="46"/>
      <c r="B318" s="10"/>
      <c r="C318" s="10"/>
      <c r="D318" s="10"/>
      <c r="E318" s="47"/>
      <c r="F318" s="10"/>
      <c r="G318" s="52"/>
      <c r="H318" s="10"/>
      <c r="I318" s="53"/>
      <c r="J318" s="54"/>
      <c r="K318" s="10"/>
      <c r="L318" s="10"/>
      <c r="M318" s="10"/>
    </row>
    <row r="319" ht="15.75" customHeight="1">
      <c r="A319" s="46"/>
      <c r="B319" s="10"/>
      <c r="C319" s="10"/>
      <c r="D319" s="10"/>
      <c r="E319" s="47"/>
      <c r="F319" s="10"/>
      <c r="G319" s="52"/>
      <c r="H319" s="10"/>
      <c r="I319" s="53"/>
      <c r="J319" s="54"/>
      <c r="K319" s="10"/>
      <c r="L319" s="10"/>
      <c r="M319" s="10"/>
    </row>
    <row r="320" ht="15.75" customHeight="1">
      <c r="A320" s="46"/>
      <c r="B320" s="10"/>
      <c r="C320" s="10"/>
      <c r="D320" s="10"/>
      <c r="E320" s="47"/>
      <c r="F320" s="10"/>
      <c r="G320" s="52"/>
      <c r="H320" s="10"/>
      <c r="I320" s="53"/>
      <c r="J320" s="54"/>
      <c r="K320" s="10"/>
      <c r="L320" s="10"/>
      <c r="M320" s="10"/>
    </row>
    <row r="321" ht="15.75" customHeight="1">
      <c r="A321" s="46"/>
      <c r="B321" s="10"/>
      <c r="C321" s="10"/>
      <c r="D321" s="10"/>
      <c r="E321" s="47"/>
      <c r="F321" s="10"/>
      <c r="G321" s="52"/>
      <c r="H321" s="10"/>
      <c r="I321" s="53"/>
      <c r="J321" s="54"/>
      <c r="K321" s="10"/>
      <c r="L321" s="10"/>
      <c r="M321" s="10"/>
    </row>
    <row r="322" ht="15.75" customHeight="1">
      <c r="A322" s="46"/>
      <c r="B322" s="10"/>
      <c r="C322" s="10"/>
      <c r="D322" s="10"/>
      <c r="E322" s="47"/>
      <c r="F322" s="10"/>
      <c r="G322" s="52"/>
      <c r="H322" s="10"/>
      <c r="I322" s="53"/>
      <c r="J322" s="54"/>
      <c r="K322" s="10"/>
      <c r="L322" s="10"/>
      <c r="M322" s="10"/>
    </row>
    <row r="323" ht="15.75" customHeight="1">
      <c r="A323" s="46"/>
      <c r="B323" s="10"/>
      <c r="C323" s="10"/>
      <c r="D323" s="10"/>
      <c r="E323" s="47"/>
      <c r="F323" s="10"/>
      <c r="G323" s="52"/>
      <c r="H323" s="10"/>
      <c r="I323" s="53"/>
      <c r="J323" s="54"/>
      <c r="K323" s="10"/>
      <c r="L323" s="10"/>
      <c r="M323" s="10"/>
    </row>
    <row r="324" ht="15.75" customHeight="1">
      <c r="A324" s="46"/>
      <c r="B324" s="10"/>
      <c r="C324" s="10"/>
      <c r="D324" s="10"/>
      <c r="E324" s="47"/>
      <c r="F324" s="10"/>
      <c r="G324" s="52"/>
      <c r="H324" s="10"/>
      <c r="I324" s="53"/>
      <c r="J324" s="54"/>
      <c r="K324" s="10"/>
      <c r="L324" s="10"/>
      <c r="M324" s="10"/>
    </row>
    <row r="325" ht="15.75" customHeight="1">
      <c r="A325" s="46"/>
      <c r="B325" s="10"/>
      <c r="C325" s="10"/>
      <c r="D325" s="10"/>
      <c r="E325" s="47"/>
      <c r="F325" s="10"/>
      <c r="G325" s="52"/>
      <c r="H325" s="10"/>
      <c r="I325" s="53"/>
      <c r="J325" s="54"/>
      <c r="K325" s="10"/>
      <c r="L325" s="10"/>
      <c r="M325" s="10"/>
    </row>
    <row r="326" ht="15.75" customHeight="1">
      <c r="A326" s="46"/>
      <c r="B326" s="10"/>
      <c r="C326" s="10"/>
      <c r="D326" s="10"/>
      <c r="E326" s="47"/>
      <c r="F326" s="10"/>
      <c r="G326" s="52"/>
      <c r="H326" s="10"/>
      <c r="I326" s="53"/>
      <c r="J326" s="54"/>
      <c r="K326" s="10"/>
      <c r="L326" s="10"/>
      <c r="M326" s="10"/>
    </row>
    <row r="327" ht="15.75" customHeight="1">
      <c r="A327" s="46"/>
      <c r="B327" s="10"/>
      <c r="C327" s="10"/>
      <c r="D327" s="10"/>
      <c r="E327" s="47"/>
      <c r="F327" s="10"/>
      <c r="G327" s="52"/>
      <c r="H327" s="10"/>
      <c r="I327" s="53"/>
      <c r="J327" s="54"/>
      <c r="K327" s="10"/>
      <c r="L327" s="10"/>
      <c r="M327" s="10"/>
    </row>
    <row r="328" ht="15.75" customHeight="1">
      <c r="A328" s="46"/>
      <c r="B328" s="10"/>
      <c r="C328" s="10"/>
      <c r="D328" s="10"/>
      <c r="E328" s="47"/>
      <c r="F328" s="10"/>
      <c r="G328" s="52"/>
      <c r="H328" s="10"/>
      <c r="I328" s="53"/>
      <c r="J328" s="54"/>
      <c r="K328" s="10"/>
      <c r="L328" s="10"/>
      <c r="M328" s="10"/>
    </row>
    <row r="329" ht="15.75" customHeight="1">
      <c r="A329" s="46"/>
      <c r="B329" s="10"/>
      <c r="C329" s="10"/>
      <c r="D329" s="10"/>
      <c r="E329" s="47"/>
      <c r="F329" s="10"/>
      <c r="G329" s="52"/>
      <c r="H329" s="10"/>
      <c r="I329" s="53"/>
      <c r="J329" s="54"/>
      <c r="K329" s="10"/>
      <c r="L329" s="10"/>
      <c r="M329" s="10"/>
    </row>
    <row r="330" ht="15.75" customHeight="1">
      <c r="A330" s="46"/>
      <c r="B330" s="10"/>
      <c r="C330" s="10"/>
      <c r="D330" s="10"/>
      <c r="E330" s="47"/>
      <c r="F330" s="10"/>
      <c r="G330" s="52"/>
      <c r="H330" s="10"/>
      <c r="I330" s="53"/>
      <c r="J330" s="54"/>
      <c r="K330" s="10"/>
      <c r="L330" s="10"/>
      <c r="M330" s="10"/>
    </row>
    <row r="331" ht="15.75" customHeight="1">
      <c r="A331" s="46"/>
      <c r="B331" s="10"/>
      <c r="C331" s="10"/>
      <c r="D331" s="10"/>
      <c r="E331" s="47"/>
      <c r="F331" s="10"/>
      <c r="G331" s="52"/>
      <c r="H331" s="10"/>
      <c r="I331" s="53"/>
      <c r="J331" s="54"/>
      <c r="K331" s="10"/>
      <c r="L331" s="10"/>
      <c r="M331" s="10"/>
    </row>
    <row r="332" ht="15.75" customHeight="1">
      <c r="A332" s="46"/>
      <c r="B332" s="10"/>
      <c r="C332" s="10"/>
      <c r="D332" s="10"/>
      <c r="E332" s="47"/>
      <c r="F332" s="10"/>
      <c r="G332" s="52"/>
      <c r="H332" s="10"/>
      <c r="I332" s="53"/>
      <c r="J332" s="54"/>
      <c r="K332" s="10"/>
      <c r="L332" s="10"/>
      <c r="M332" s="10"/>
    </row>
    <row r="333" ht="15.75" customHeight="1">
      <c r="A333" s="46"/>
      <c r="B333" s="10"/>
      <c r="C333" s="10"/>
      <c r="D333" s="10"/>
      <c r="E333" s="47"/>
      <c r="F333" s="10"/>
      <c r="G333" s="52"/>
      <c r="H333" s="10"/>
      <c r="I333" s="53"/>
      <c r="J333" s="54"/>
      <c r="K333" s="10"/>
      <c r="L333" s="10"/>
      <c r="M333" s="10"/>
    </row>
    <row r="334" ht="15.75" customHeight="1">
      <c r="A334" s="46"/>
      <c r="B334" s="10"/>
      <c r="C334" s="10"/>
      <c r="D334" s="10"/>
      <c r="E334" s="47"/>
      <c r="F334" s="10"/>
      <c r="G334" s="52"/>
      <c r="H334" s="10"/>
      <c r="I334" s="53"/>
      <c r="J334" s="54"/>
      <c r="K334" s="10"/>
      <c r="L334" s="10"/>
      <c r="M334" s="10"/>
    </row>
    <row r="335" ht="15.75" customHeight="1">
      <c r="A335" s="46"/>
      <c r="B335" s="10"/>
      <c r="C335" s="10"/>
      <c r="D335" s="10"/>
      <c r="E335" s="47"/>
      <c r="F335" s="10"/>
      <c r="G335" s="52"/>
      <c r="H335" s="10"/>
      <c r="I335" s="53"/>
      <c r="J335" s="54"/>
      <c r="K335" s="10"/>
      <c r="L335" s="10"/>
      <c r="M335" s="10"/>
    </row>
    <row r="336" ht="15.75" customHeight="1">
      <c r="A336" s="46"/>
      <c r="B336" s="10"/>
      <c r="C336" s="10"/>
      <c r="D336" s="10"/>
      <c r="E336" s="47"/>
      <c r="F336" s="10"/>
      <c r="G336" s="52"/>
      <c r="H336" s="10"/>
      <c r="I336" s="53"/>
      <c r="J336" s="54"/>
      <c r="K336" s="10"/>
      <c r="L336" s="10"/>
      <c r="M336" s="10"/>
    </row>
    <row r="337" ht="15.75" customHeight="1">
      <c r="A337" s="46"/>
      <c r="B337" s="10"/>
      <c r="C337" s="10"/>
      <c r="D337" s="10"/>
      <c r="E337" s="47"/>
      <c r="F337" s="10"/>
      <c r="G337" s="52"/>
      <c r="H337" s="10"/>
      <c r="I337" s="53"/>
      <c r="J337" s="54"/>
      <c r="K337" s="10"/>
      <c r="L337" s="10"/>
      <c r="M337" s="10"/>
    </row>
    <row r="338" ht="15.75" customHeight="1">
      <c r="A338" s="46"/>
      <c r="B338" s="10"/>
      <c r="C338" s="10"/>
      <c r="D338" s="10"/>
      <c r="E338" s="47"/>
      <c r="F338" s="10"/>
      <c r="G338" s="52"/>
      <c r="H338" s="10"/>
      <c r="I338" s="53"/>
      <c r="J338" s="54"/>
      <c r="K338" s="10"/>
      <c r="L338" s="10"/>
      <c r="M338" s="10"/>
    </row>
    <row r="339" ht="15.75" customHeight="1">
      <c r="A339" s="46"/>
      <c r="B339" s="10"/>
      <c r="C339" s="10"/>
      <c r="D339" s="10"/>
      <c r="E339" s="47"/>
      <c r="F339" s="10"/>
      <c r="G339" s="52"/>
      <c r="H339" s="10"/>
      <c r="I339" s="53"/>
      <c r="J339" s="54"/>
      <c r="K339" s="10"/>
      <c r="L339" s="10"/>
      <c r="M339" s="10"/>
    </row>
    <row r="340" ht="15.75" customHeight="1">
      <c r="A340" s="46"/>
      <c r="B340" s="10"/>
      <c r="C340" s="10"/>
      <c r="D340" s="10"/>
      <c r="E340" s="47"/>
      <c r="F340" s="10"/>
      <c r="G340" s="52"/>
      <c r="H340" s="10"/>
      <c r="I340" s="53"/>
      <c r="J340" s="54"/>
      <c r="K340" s="10"/>
      <c r="L340" s="10"/>
      <c r="M340" s="10"/>
    </row>
    <row r="341" ht="15.75" customHeight="1">
      <c r="A341" s="46"/>
      <c r="B341" s="10"/>
      <c r="C341" s="10"/>
      <c r="D341" s="10"/>
      <c r="E341" s="47"/>
      <c r="F341" s="10"/>
      <c r="G341" s="52"/>
      <c r="H341" s="10"/>
      <c r="I341" s="53"/>
      <c r="J341" s="54"/>
      <c r="K341" s="10"/>
      <c r="L341" s="10"/>
      <c r="M341" s="10"/>
    </row>
    <row r="342" ht="15.75" customHeight="1">
      <c r="A342" s="46"/>
      <c r="B342" s="10"/>
      <c r="C342" s="10"/>
      <c r="D342" s="10"/>
      <c r="E342" s="47"/>
      <c r="F342" s="10"/>
      <c r="G342" s="52"/>
      <c r="H342" s="10"/>
      <c r="I342" s="53"/>
      <c r="J342" s="54"/>
      <c r="K342" s="10"/>
      <c r="L342" s="10"/>
      <c r="M342" s="10"/>
    </row>
    <row r="343" ht="15.75" customHeight="1">
      <c r="A343" s="46"/>
      <c r="B343" s="10"/>
      <c r="C343" s="10"/>
      <c r="D343" s="10"/>
      <c r="E343" s="47"/>
      <c r="F343" s="10"/>
      <c r="G343" s="52"/>
      <c r="H343" s="10"/>
      <c r="I343" s="53"/>
      <c r="J343" s="54"/>
      <c r="K343" s="10"/>
      <c r="L343" s="10"/>
      <c r="M343" s="10"/>
    </row>
    <row r="344" ht="15.75" customHeight="1">
      <c r="A344" s="46"/>
      <c r="B344" s="10"/>
      <c r="C344" s="10"/>
      <c r="D344" s="10"/>
      <c r="E344" s="47"/>
      <c r="F344" s="10"/>
      <c r="G344" s="52"/>
      <c r="H344" s="10"/>
      <c r="I344" s="53"/>
      <c r="J344" s="54"/>
      <c r="K344" s="10"/>
      <c r="L344" s="10"/>
      <c r="M344" s="10"/>
    </row>
    <row r="345" ht="15.75" customHeight="1">
      <c r="A345" s="46"/>
      <c r="B345" s="10"/>
      <c r="C345" s="10"/>
      <c r="D345" s="10"/>
      <c r="E345" s="47"/>
      <c r="F345" s="10"/>
      <c r="G345" s="52"/>
      <c r="H345" s="10"/>
      <c r="I345" s="53"/>
      <c r="J345" s="54"/>
      <c r="K345" s="10"/>
      <c r="L345" s="10"/>
      <c r="M345" s="10"/>
    </row>
    <row r="346" ht="15.75" customHeight="1">
      <c r="A346" s="46"/>
      <c r="B346" s="10"/>
      <c r="C346" s="10"/>
      <c r="D346" s="10"/>
      <c r="E346" s="47"/>
      <c r="F346" s="10"/>
      <c r="G346" s="52"/>
      <c r="H346" s="10"/>
      <c r="I346" s="53"/>
      <c r="J346" s="54"/>
      <c r="K346" s="10"/>
      <c r="L346" s="10"/>
      <c r="M346" s="10"/>
    </row>
    <row r="347" ht="15.75" customHeight="1">
      <c r="A347" s="46"/>
      <c r="B347" s="10"/>
      <c r="C347" s="10"/>
      <c r="D347" s="10"/>
      <c r="E347" s="47"/>
      <c r="F347" s="10"/>
      <c r="G347" s="52"/>
      <c r="H347" s="10"/>
      <c r="I347" s="53"/>
      <c r="J347" s="54"/>
      <c r="K347" s="10"/>
      <c r="L347" s="10"/>
      <c r="M347" s="10"/>
    </row>
    <row r="348" ht="15.75" customHeight="1">
      <c r="A348" s="46"/>
      <c r="B348" s="10"/>
      <c r="C348" s="10"/>
      <c r="D348" s="10"/>
      <c r="E348" s="47"/>
      <c r="F348" s="10"/>
      <c r="G348" s="52"/>
      <c r="H348" s="10"/>
      <c r="I348" s="53"/>
      <c r="J348" s="54"/>
      <c r="K348" s="10"/>
      <c r="L348" s="10"/>
      <c r="M348" s="10"/>
    </row>
    <row r="349" ht="15.75" customHeight="1">
      <c r="A349" s="46"/>
      <c r="B349" s="10"/>
      <c r="C349" s="10"/>
      <c r="D349" s="10"/>
      <c r="E349" s="47"/>
      <c r="F349" s="10"/>
      <c r="G349" s="52"/>
      <c r="H349" s="10"/>
      <c r="I349" s="53"/>
      <c r="J349" s="54"/>
      <c r="K349" s="10"/>
      <c r="L349" s="10"/>
      <c r="M349" s="10"/>
    </row>
    <row r="350" ht="15.75" customHeight="1">
      <c r="A350" s="46"/>
      <c r="B350" s="10"/>
      <c r="C350" s="10"/>
      <c r="D350" s="10"/>
      <c r="E350" s="47"/>
      <c r="F350" s="10"/>
      <c r="G350" s="52"/>
      <c r="H350" s="10"/>
      <c r="I350" s="53"/>
      <c r="J350" s="54"/>
      <c r="K350" s="10"/>
      <c r="L350" s="10"/>
      <c r="M350" s="10"/>
    </row>
    <row r="351" ht="15.75" customHeight="1">
      <c r="A351" s="46"/>
      <c r="B351" s="10"/>
      <c r="C351" s="10"/>
      <c r="D351" s="10"/>
      <c r="E351" s="47"/>
      <c r="F351" s="10"/>
      <c r="G351" s="52"/>
      <c r="H351" s="10"/>
      <c r="I351" s="53"/>
      <c r="J351" s="54"/>
      <c r="K351" s="10"/>
      <c r="L351" s="10"/>
      <c r="M351" s="10"/>
    </row>
    <row r="352" ht="15.75" customHeight="1">
      <c r="A352" s="46"/>
      <c r="B352" s="10"/>
      <c r="C352" s="10"/>
      <c r="D352" s="10"/>
      <c r="E352" s="47"/>
      <c r="F352" s="10"/>
      <c r="G352" s="52"/>
      <c r="H352" s="10"/>
      <c r="I352" s="53"/>
      <c r="J352" s="54"/>
      <c r="K352" s="10"/>
      <c r="L352" s="10"/>
      <c r="M352" s="10"/>
    </row>
    <row r="353" ht="15.75" customHeight="1">
      <c r="A353" s="46"/>
      <c r="B353" s="10"/>
      <c r="C353" s="10"/>
      <c r="D353" s="10"/>
      <c r="E353" s="47"/>
      <c r="F353" s="10"/>
      <c r="G353" s="52"/>
      <c r="H353" s="10"/>
      <c r="I353" s="53"/>
      <c r="J353" s="54"/>
      <c r="K353" s="10"/>
      <c r="L353" s="10"/>
      <c r="M353" s="10"/>
    </row>
    <row r="354" ht="15.75" customHeight="1">
      <c r="A354" s="46"/>
      <c r="B354" s="10"/>
      <c r="C354" s="10"/>
      <c r="D354" s="10"/>
      <c r="E354" s="47"/>
      <c r="F354" s="10"/>
      <c r="G354" s="52"/>
      <c r="H354" s="10"/>
      <c r="I354" s="53"/>
      <c r="J354" s="54"/>
      <c r="K354" s="10"/>
      <c r="L354" s="10"/>
      <c r="M354" s="10"/>
    </row>
    <row r="355" ht="15.75" customHeight="1">
      <c r="A355" s="46"/>
      <c r="B355" s="10"/>
      <c r="C355" s="10"/>
      <c r="D355" s="10"/>
      <c r="E355" s="47"/>
      <c r="F355" s="10"/>
      <c r="G355" s="52"/>
      <c r="H355" s="10"/>
      <c r="I355" s="53"/>
      <c r="J355" s="54"/>
      <c r="K355" s="10"/>
      <c r="L355" s="10"/>
      <c r="M355" s="10"/>
    </row>
    <row r="356" ht="15.75" customHeight="1">
      <c r="A356" s="46"/>
      <c r="B356" s="10"/>
      <c r="C356" s="10"/>
      <c r="D356" s="10"/>
      <c r="E356" s="47"/>
      <c r="F356" s="10"/>
      <c r="G356" s="52"/>
      <c r="H356" s="10"/>
      <c r="I356" s="53"/>
      <c r="J356" s="54"/>
      <c r="K356" s="10"/>
      <c r="L356" s="10"/>
      <c r="M356" s="10"/>
    </row>
    <row r="357" ht="15.75" customHeight="1">
      <c r="A357" s="46"/>
      <c r="B357" s="10"/>
      <c r="C357" s="10"/>
      <c r="D357" s="10"/>
      <c r="E357" s="47"/>
      <c r="F357" s="10"/>
      <c r="G357" s="52"/>
      <c r="H357" s="10"/>
      <c r="I357" s="53"/>
      <c r="J357" s="54"/>
      <c r="K357" s="10"/>
      <c r="L357" s="10"/>
      <c r="M357" s="10"/>
    </row>
    <row r="358" ht="15.75" customHeight="1">
      <c r="A358" s="46"/>
      <c r="B358" s="10"/>
      <c r="C358" s="10"/>
      <c r="D358" s="10"/>
      <c r="E358" s="47"/>
      <c r="F358" s="10"/>
      <c r="G358" s="52"/>
      <c r="H358" s="10"/>
      <c r="I358" s="53"/>
      <c r="J358" s="54"/>
      <c r="K358" s="10"/>
      <c r="L358" s="10"/>
      <c r="M358" s="10"/>
    </row>
    <row r="359" ht="15.75" customHeight="1">
      <c r="A359" s="46"/>
      <c r="B359" s="10"/>
      <c r="C359" s="10"/>
      <c r="D359" s="10"/>
      <c r="E359" s="47"/>
      <c r="F359" s="10"/>
      <c r="G359" s="52"/>
      <c r="H359" s="10"/>
      <c r="I359" s="53"/>
      <c r="J359" s="54"/>
      <c r="K359" s="10"/>
      <c r="L359" s="10"/>
      <c r="M359" s="10"/>
    </row>
    <row r="360" ht="15.75" customHeight="1">
      <c r="A360" s="46"/>
      <c r="B360" s="10"/>
      <c r="C360" s="10"/>
      <c r="D360" s="10"/>
      <c r="E360" s="47"/>
      <c r="F360" s="10"/>
      <c r="G360" s="52"/>
      <c r="H360" s="10"/>
      <c r="I360" s="53"/>
      <c r="J360" s="54"/>
      <c r="K360" s="10"/>
      <c r="L360" s="10"/>
      <c r="M360" s="10"/>
    </row>
    <row r="361" ht="15.75" customHeight="1">
      <c r="A361" s="46"/>
      <c r="B361" s="10"/>
      <c r="C361" s="10"/>
      <c r="D361" s="10"/>
      <c r="E361" s="47"/>
      <c r="F361" s="10"/>
      <c r="G361" s="52"/>
      <c r="H361" s="10"/>
      <c r="I361" s="53"/>
      <c r="J361" s="54"/>
      <c r="K361" s="10"/>
      <c r="L361" s="10"/>
      <c r="M361" s="10"/>
    </row>
    <row r="362" ht="15.75" customHeight="1">
      <c r="A362" s="46"/>
      <c r="B362" s="10"/>
      <c r="C362" s="10"/>
      <c r="D362" s="10"/>
      <c r="E362" s="47"/>
      <c r="F362" s="10"/>
      <c r="G362" s="52"/>
      <c r="H362" s="10"/>
      <c r="I362" s="53"/>
      <c r="J362" s="54"/>
      <c r="K362" s="10"/>
      <c r="L362" s="10"/>
      <c r="M362" s="10"/>
    </row>
    <row r="363" ht="15.75" customHeight="1">
      <c r="A363" s="46"/>
      <c r="B363" s="10"/>
      <c r="C363" s="10"/>
      <c r="D363" s="10"/>
      <c r="E363" s="47"/>
      <c r="F363" s="10"/>
      <c r="G363" s="52"/>
      <c r="H363" s="10"/>
      <c r="I363" s="53"/>
      <c r="J363" s="54"/>
      <c r="K363" s="10"/>
      <c r="L363" s="10"/>
      <c r="M363" s="10"/>
    </row>
    <row r="364" ht="15.75" customHeight="1">
      <c r="A364" s="46"/>
      <c r="B364" s="10"/>
      <c r="C364" s="10"/>
      <c r="D364" s="10"/>
      <c r="E364" s="47"/>
      <c r="F364" s="10"/>
      <c r="G364" s="52"/>
      <c r="H364" s="10"/>
      <c r="I364" s="53"/>
      <c r="J364" s="54"/>
      <c r="K364" s="10"/>
      <c r="L364" s="10"/>
      <c r="M364" s="10"/>
    </row>
    <row r="365" ht="15.75" customHeight="1">
      <c r="A365" s="46"/>
      <c r="B365" s="10"/>
      <c r="C365" s="10"/>
      <c r="D365" s="10"/>
      <c r="E365" s="47"/>
      <c r="F365" s="10"/>
      <c r="G365" s="52"/>
      <c r="H365" s="10"/>
      <c r="I365" s="53"/>
      <c r="J365" s="54"/>
      <c r="K365" s="10"/>
      <c r="L365" s="10"/>
      <c r="M365" s="10"/>
    </row>
    <row r="366" ht="15.75" customHeight="1">
      <c r="A366" s="46"/>
      <c r="B366" s="10"/>
      <c r="C366" s="10"/>
      <c r="D366" s="10"/>
      <c r="E366" s="47"/>
      <c r="F366" s="10"/>
      <c r="G366" s="52"/>
      <c r="H366" s="10"/>
      <c r="I366" s="53"/>
      <c r="J366" s="54"/>
      <c r="K366" s="10"/>
      <c r="L366" s="10"/>
      <c r="M366" s="10"/>
    </row>
    <row r="367" ht="15.75" customHeight="1">
      <c r="A367" s="46"/>
      <c r="B367" s="10"/>
      <c r="C367" s="10"/>
      <c r="D367" s="10"/>
      <c r="E367" s="47"/>
      <c r="F367" s="10"/>
      <c r="G367" s="52"/>
      <c r="H367" s="10"/>
      <c r="I367" s="53"/>
      <c r="J367" s="54"/>
      <c r="K367" s="10"/>
      <c r="L367" s="10"/>
      <c r="M367" s="10"/>
    </row>
    <row r="368" ht="15.75" customHeight="1">
      <c r="A368" s="46"/>
      <c r="B368" s="10"/>
      <c r="C368" s="10"/>
      <c r="D368" s="10"/>
      <c r="E368" s="47"/>
      <c r="F368" s="10"/>
      <c r="G368" s="52"/>
      <c r="H368" s="10"/>
      <c r="I368" s="53"/>
      <c r="J368" s="54"/>
      <c r="K368" s="10"/>
      <c r="L368" s="10"/>
      <c r="M368" s="10"/>
    </row>
    <row r="369" ht="15.75" customHeight="1">
      <c r="A369" s="46"/>
      <c r="B369" s="10"/>
      <c r="C369" s="10"/>
      <c r="D369" s="10"/>
      <c r="E369" s="47"/>
      <c r="F369" s="10"/>
      <c r="G369" s="52"/>
      <c r="H369" s="10"/>
      <c r="I369" s="53"/>
      <c r="J369" s="54"/>
      <c r="K369" s="10"/>
      <c r="L369" s="10"/>
      <c r="M369" s="10"/>
    </row>
    <row r="370" ht="15.75" customHeight="1">
      <c r="A370" s="46"/>
      <c r="B370" s="10"/>
      <c r="C370" s="10"/>
      <c r="D370" s="10"/>
      <c r="E370" s="47"/>
      <c r="F370" s="10"/>
      <c r="G370" s="52"/>
      <c r="H370" s="10"/>
      <c r="I370" s="53"/>
      <c r="J370" s="54"/>
      <c r="K370" s="10"/>
      <c r="L370" s="10"/>
      <c r="M370" s="10"/>
    </row>
    <row r="371" ht="15.75" customHeight="1">
      <c r="A371" s="46"/>
      <c r="B371" s="10"/>
      <c r="C371" s="10"/>
      <c r="D371" s="10"/>
      <c r="E371" s="47"/>
      <c r="F371" s="10"/>
      <c r="G371" s="52"/>
      <c r="H371" s="10"/>
      <c r="I371" s="53"/>
      <c r="J371" s="54"/>
      <c r="K371" s="10"/>
      <c r="L371" s="10"/>
      <c r="M371" s="10"/>
    </row>
    <row r="372" ht="15.75" customHeight="1">
      <c r="A372" s="46"/>
      <c r="B372" s="10"/>
      <c r="C372" s="10"/>
      <c r="D372" s="10"/>
      <c r="E372" s="47"/>
      <c r="F372" s="10"/>
      <c r="G372" s="52"/>
      <c r="H372" s="10"/>
      <c r="I372" s="53"/>
      <c r="J372" s="54"/>
      <c r="K372" s="10"/>
      <c r="L372" s="10"/>
      <c r="M372" s="10"/>
    </row>
    <row r="373" ht="15.75" customHeight="1">
      <c r="A373" s="46"/>
      <c r="B373" s="10"/>
      <c r="C373" s="10"/>
      <c r="D373" s="10"/>
      <c r="E373" s="47"/>
      <c r="F373" s="10"/>
      <c r="G373" s="52"/>
      <c r="H373" s="10"/>
      <c r="I373" s="53"/>
      <c r="J373" s="54"/>
      <c r="K373" s="10"/>
      <c r="L373" s="10"/>
      <c r="M373" s="10"/>
    </row>
    <row r="374" ht="15.75" customHeight="1">
      <c r="A374" s="46"/>
      <c r="B374" s="10"/>
      <c r="C374" s="10"/>
      <c r="D374" s="10"/>
      <c r="E374" s="47"/>
      <c r="F374" s="10"/>
      <c r="G374" s="52"/>
      <c r="H374" s="10"/>
      <c r="I374" s="53"/>
      <c r="J374" s="54"/>
      <c r="K374" s="10"/>
      <c r="L374" s="10"/>
      <c r="M374" s="10"/>
    </row>
    <row r="375" ht="15.75" customHeight="1">
      <c r="A375" s="46"/>
      <c r="B375" s="10"/>
      <c r="C375" s="10"/>
      <c r="D375" s="10"/>
      <c r="E375" s="47"/>
      <c r="F375" s="10"/>
      <c r="G375" s="52"/>
      <c r="H375" s="10"/>
      <c r="I375" s="53"/>
      <c r="J375" s="54"/>
      <c r="K375" s="10"/>
      <c r="L375" s="10"/>
      <c r="M375" s="10"/>
    </row>
    <row r="376" ht="15.75" customHeight="1">
      <c r="A376" s="46"/>
      <c r="B376" s="10"/>
      <c r="C376" s="10"/>
      <c r="D376" s="10"/>
      <c r="E376" s="47"/>
      <c r="F376" s="10"/>
      <c r="G376" s="52"/>
      <c r="H376" s="10"/>
      <c r="I376" s="53"/>
      <c r="J376" s="54"/>
      <c r="K376" s="10"/>
      <c r="L376" s="10"/>
      <c r="M376" s="10"/>
    </row>
    <row r="377" ht="15.75" customHeight="1">
      <c r="A377" s="46"/>
      <c r="B377" s="10"/>
      <c r="C377" s="10"/>
      <c r="D377" s="10"/>
      <c r="E377" s="47"/>
      <c r="F377" s="10"/>
      <c r="G377" s="52"/>
      <c r="H377" s="10"/>
      <c r="I377" s="53"/>
      <c r="J377" s="54"/>
      <c r="K377" s="10"/>
      <c r="L377" s="10"/>
      <c r="M377" s="10"/>
    </row>
    <row r="378" ht="15.75" customHeight="1">
      <c r="A378" s="46"/>
      <c r="B378" s="10"/>
      <c r="C378" s="10"/>
      <c r="D378" s="10"/>
      <c r="E378" s="47"/>
      <c r="F378" s="10"/>
      <c r="G378" s="52"/>
      <c r="H378" s="10"/>
      <c r="I378" s="53"/>
      <c r="J378" s="54"/>
      <c r="K378" s="10"/>
      <c r="L378" s="10"/>
      <c r="M378" s="10"/>
    </row>
    <row r="379" ht="15.75" customHeight="1">
      <c r="A379" s="46"/>
      <c r="B379" s="10"/>
      <c r="C379" s="10"/>
      <c r="D379" s="10"/>
      <c r="E379" s="47"/>
      <c r="F379" s="10"/>
      <c r="G379" s="52"/>
      <c r="H379" s="10"/>
      <c r="I379" s="53"/>
      <c r="J379" s="54"/>
      <c r="K379" s="10"/>
      <c r="L379" s="10"/>
      <c r="M379" s="10"/>
    </row>
    <row r="380" ht="15.75" customHeight="1">
      <c r="A380" s="46"/>
      <c r="B380" s="10"/>
      <c r="C380" s="10"/>
      <c r="D380" s="10"/>
      <c r="E380" s="47"/>
      <c r="F380" s="10"/>
      <c r="G380" s="52"/>
      <c r="H380" s="10"/>
      <c r="I380" s="53"/>
      <c r="J380" s="54"/>
      <c r="K380" s="10"/>
      <c r="L380" s="10"/>
      <c r="M380" s="10"/>
    </row>
    <row r="381" ht="15.75" customHeight="1">
      <c r="A381" s="46"/>
      <c r="B381" s="10"/>
      <c r="C381" s="10"/>
      <c r="D381" s="10"/>
      <c r="E381" s="47"/>
      <c r="F381" s="10"/>
      <c r="G381" s="52"/>
      <c r="H381" s="10"/>
      <c r="I381" s="53"/>
      <c r="J381" s="54"/>
      <c r="K381" s="10"/>
      <c r="L381" s="10"/>
      <c r="M381" s="10"/>
    </row>
    <row r="382" ht="15.75" customHeight="1">
      <c r="A382" s="46"/>
      <c r="B382" s="10"/>
      <c r="C382" s="10"/>
      <c r="D382" s="10"/>
      <c r="E382" s="47"/>
      <c r="F382" s="10"/>
      <c r="G382" s="52"/>
      <c r="H382" s="10"/>
      <c r="I382" s="53"/>
      <c r="J382" s="54"/>
      <c r="K382" s="10"/>
      <c r="L382" s="10"/>
      <c r="M382" s="10"/>
    </row>
    <row r="383" ht="15.75" customHeight="1">
      <c r="A383" s="46"/>
      <c r="B383" s="10"/>
      <c r="C383" s="10"/>
      <c r="D383" s="10"/>
      <c r="E383" s="47"/>
      <c r="F383" s="10"/>
      <c r="G383" s="52"/>
      <c r="H383" s="10"/>
      <c r="I383" s="53"/>
      <c r="J383" s="54"/>
      <c r="K383" s="10"/>
      <c r="L383" s="10"/>
      <c r="M383" s="10"/>
    </row>
    <row r="384" ht="15.75" customHeight="1">
      <c r="A384" s="46"/>
      <c r="B384" s="10"/>
      <c r="C384" s="10"/>
      <c r="D384" s="10"/>
      <c r="E384" s="47"/>
      <c r="F384" s="10"/>
      <c r="G384" s="52"/>
      <c r="H384" s="10"/>
      <c r="I384" s="53"/>
      <c r="J384" s="54"/>
      <c r="K384" s="10"/>
      <c r="L384" s="10"/>
      <c r="M384" s="10"/>
    </row>
    <row r="385" ht="15.75" customHeight="1">
      <c r="A385" s="46"/>
      <c r="B385" s="10"/>
      <c r="C385" s="10"/>
      <c r="D385" s="10"/>
      <c r="E385" s="47"/>
      <c r="F385" s="10"/>
      <c r="G385" s="52"/>
      <c r="H385" s="10"/>
      <c r="I385" s="53"/>
      <c r="J385" s="54"/>
      <c r="K385" s="10"/>
      <c r="L385" s="10"/>
      <c r="M385" s="10"/>
    </row>
    <row r="386" ht="15.75" customHeight="1">
      <c r="A386" s="46"/>
      <c r="B386" s="10"/>
      <c r="C386" s="10"/>
      <c r="D386" s="10"/>
      <c r="E386" s="47"/>
      <c r="F386" s="10"/>
      <c r="G386" s="52"/>
      <c r="H386" s="10"/>
      <c r="I386" s="53"/>
      <c r="J386" s="54"/>
      <c r="K386" s="10"/>
      <c r="L386" s="10"/>
      <c r="M386" s="10"/>
    </row>
    <row r="387" ht="15.75" customHeight="1">
      <c r="A387" s="46"/>
      <c r="B387" s="10"/>
      <c r="C387" s="10"/>
      <c r="D387" s="10"/>
      <c r="E387" s="47"/>
      <c r="F387" s="10"/>
      <c r="G387" s="52"/>
      <c r="H387" s="10"/>
      <c r="I387" s="53"/>
      <c r="J387" s="54"/>
      <c r="K387" s="10"/>
      <c r="L387" s="10"/>
      <c r="M387" s="10"/>
    </row>
    <row r="388" ht="15.75" customHeight="1">
      <c r="A388" s="46"/>
      <c r="B388" s="10"/>
      <c r="C388" s="10"/>
      <c r="D388" s="10"/>
      <c r="E388" s="47"/>
      <c r="F388" s="10"/>
      <c r="G388" s="52"/>
      <c r="H388" s="10"/>
      <c r="I388" s="53"/>
      <c r="J388" s="54"/>
      <c r="K388" s="10"/>
      <c r="L388" s="10"/>
      <c r="M388" s="10"/>
    </row>
    <row r="389" ht="15.75" customHeight="1">
      <c r="A389" s="46"/>
      <c r="B389" s="10"/>
      <c r="C389" s="10"/>
      <c r="D389" s="10"/>
      <c r="E389" s="47"/>
      <c r="F389" s="10"/>
      <c r="G389" s="52"/>
      <c r="H389" s="10"/>
      <c r="I389" s="53"/>
      <c r="J389" s="54"/>
      <c r="K389" s="10"/>
      <c r="L389" s="10"/>
      <c r="M389" s="10"/>
    </row>
    <row r="390" ht="15.75" customHeight="1">
      <c r="A390" s="46"/>
      <c r="B390" s="10"/>
      <c r="C390" s="10"/>
      <c r="D390" s="10"/>
      <c r="E390" s="47"/>
      <c r="F390" s="10"/>
      <c r="G390" s="52"/>
      <c r="H390" s="10"/>
      <c r="I390" s="53"/>
      <c r="J390" s="54"/>
      <c r="K390" s="10"/>
      <c r="L390" s="10"/>
      <c r="M390" s="10"/>
    </row>
    <row r="391" ht="15.75" customHeight="1">
      <c r="A391" s="46"/>
      <c r="B391" s="10"/>
      <c r="C391" s="10"/>
      <c r="D391" s="10"/>
      <c r="E391" s="47"/>
      <c r="F391" s="10"/>
      <c r="G391" s="52"/>
      <c r="H391" s="10"/>
      <c r="I391" s="53"/>
      <c r="J391" s="54"/>
      <c r="K391" s="10"/>
      <c r="L391" s="10"/>
      <c r="M391" s="10"/>
    </row>
    <row r="392" ht="15.75" customHeight="1">
      <c r="A392" s="46"/>
      <c r="B392" s="10"/>
      <c r="C392" s="10"/>
      <c r="D392" s="10"/>
      <c r="E392" s="47"/>
      <c r="F392" s="10"/>
      <c r="G392" s="52"/>
      <c r="H392" s="10"/>
      <c r="I392" s="53"/>
      <c r="J392" s="54"/>
      <c r="K392" s="10"/>
      <c r="L392" s="10"/>
      <c r="M392" s="10"/>
    </row>
    <row r="393" ht="15.75" customHeight="1">
      <c r="A393" s="46"/>
      <c r="B393" s="10"/>
      <c r="C393" s="10"/>
      <c r="D393" s="10"/>
      <c r="E393" s="47"/>
      <c r="F393" s="10"/>
      <c r="G393" s="52"/>
      <c r="H393" s="10"/>
      <c r="I393" s="53"/>
      <c r="J393" s="54"/>
      <c r="K393" s="10"/>
      <c r="L393" s="10"/>
      <c r="M393" s="10"/>
    </row>
    <row r="394" ht="15.75" customHeight="1">
      <c r="A394" s="46"/>
      <c r="B394" s="10"/>
      <c r="C394" s="10"/>
      <c r="D394" s="10"/>
      <c r="E394" s="47"/>
      <c r="F394" s="10"/>
      <c r="G394" s="52"/>
      <c r="H394" s="10"/>
      <c r="I394" s="53"/>
      <c r="J394" s="54"/>
      <c r="K394" s="10"/>
      <c r="L394" s="10"/>
      <c r="M394" s="10"/>
    </row>
    <row r="395" ht="15.75" customHeight="1">
      <c r="A395" s="46"/>
      <c r="B395" s="10"/>
      <c r="C395" s="10"/>
      <c r="D395" s="10"/>
      <c r="E395" s="47"/>
      <c r="F395" s="10"/>
      <c r="G395" s="52"/>
      <c r="H395" s="10"/>
      <c r="I395" s="53"/>
      <c r="J395" s="54"/>
      <c r="K395" s="10"/>
      <c r="L395" s="10"/>
      <c r="M395" s="10"/>
    </row>
    <row r="396" ht="15.75" customHeight="1">
      <c r="A396" s="46"/>
      <c r="B396" s="10"/>
      <c r="C396" s="10"/>
      <c r="D396" s="10"/>
      <c r="E396" s="47"/>
      <c r="F396" s="10"/>
      <c r="G396" s="52"/>
      <c r="H396" s="10"/>
      <c r="I396" s="53"/>
      <c r="J396" s="54"/>
      <c r="K396" s="10"/>
      <c r="L396" s="10"/>
      <c r="M396" s="10"/>
    </row>
    <row r="397" ht="15.75" customHeight="1">
      <c r="A397" s="46"/>
      <c r="B397" s="10"/>
      <c r="C397" s="10"/>
      <c r="D397" s="10"/>
      <c r="E397" s="47"/>
      <c r="F397" s="10"/>
      <c r="G397" s="52"/>
      <c r="H397" s="10"/>
      <c r="I397" s="53"/>
      <c r="J397" s="54"/>
      <c r="K397" s="10"/>
      <c r="L397" s="10"/>
      <c r="M397" s="10"/>
    </row>
    <row r="398" ht="15.75" customHeight="1">
      <c r="A398" s="46"/>
      <c r="B398" s="10"/>
      <c r="C398" s="10"/>
      <c r="D398" s="10"/>
      <c r="E398" s="47"/>
      <c r="F398" s="10"/>
      <c r="G398" s="52"/>
      <c r="H398" s="10"/>
      <c r="I398" s="53"/>
      <c r="J398" s="54"/>
      <c r="K398" s="10"/>
      <c r="L398" s="10"/>
      <c r="M398" s="10"/>
    </row>
    <row r="399" ht="15.75" customHeight="1">
      <c r="A399" s="46"/>
      <c r="B399" s="10"/>
      <c r="C399" s="10"/>
      <c r="D399" s="10"/>
      <c r="E399" s="47"/>
      <c r="F399" s="10"/>
      <c r="G399" s="52"/>
      <c r="H399" s="10"/>
      <c r="I399" s="53"/>
      <c r="J399" s="54"/>
      <c r="K399" s="10"/>
      <c r="L399" s="10"/>
      <c r="M399" s="10"/>
    </row>
    <row r="400" ht="15.75" customHeight="1">
      <c r="A400" s="46"/>
      <c r="B400" s="10"/>
      <c r="C400" s="10"/>
      <c r="D400" s="10"/>
      <c r="E400" s="47"/>
      <c r="F400" s="10"/>
      <c r="G400" s="52"/>
      <c r="H400" s="10"/>
      <c r="I400" s="53"/>
      <c r="J400" s="54"/>
      <c r="K400" s="10"/>
      <c r="L400" s="10"/>
      <c r="M400" s="10"/>
    </row>
    <row r="401" ht="15.75" customHeight="1">
      <c r="A401" s="46"/>
      <c r="B401" s="10"/>
      <c r="C401" s="10"/>
      <c r="D401" s="10"/>
      <c r="E401" s="47"/>
      <c r="F401" s="10"/>
      <c r="G401" s="52"/>
      <c r="H401" s="10"/>
      <c r="I401" s="53"/>
      <c r="J401" s="54"/>
      <c r="K401" s="10"/>
      <c r="L401" s="10"/>
      <c r="M401" s="10"/>
    </row>
    <row r="402" ht="15.75" customHeight="1">
      <c r="A402" s="46"/>
      <c r="B402" s="10"/>
      <c r="C402" s="10"/>
      <c r="D402" s="10"/>
      <c r="E402" s="47"/>
      <c r="F402" s="10"/>
      <c r="G402" s="52"/>
      <c r="H402" s="10"/>
      <c r="I402" s="53"/>
      <c r="J402" s="54"/>
      <c r="K402" s="10"/>
      <c r="L402" s="10"/>
      <c r="M402" s="10"/>
    </row>
    <row r="403" ht="15.75" customHeight="1">
      <c r="A403" s="46"/>
      <c r="B403" s="10"/>
      <c r="C403" s="10"/>
      <c r="D403" s="10"/>
      <c r="E403" s="47"/>
      <c r="F403" s="10"/>
      <c r="G403" s="52"/>
      <c r="H403" s="10"/>
      <c r="I403" s="53"/>
      <c r="J403" s="54"/>
      <c r="K403" s="10"/>
      <c r="L403" s="10"/>
      <c r="M403" s="10"/>
    </row>
    <row r="404" ht="15.75" customHeight="1">
      <c r="A404" s="46"/>
      <c r="B404" s="10"/>
      <c r="C404" s="10"/>
      <c r="D404" s="10"/>
      <c r="E404" s="47"/>
      <c r="F404" s="10"/>
      <c r="G404" s="52"/>
      <c r="H404" s="10"/>
      <c r="I404" s="53"/>
      <c r="J404" s="54"/>
      <c r="K404" s="10"/>
      <c r="L404" s="10"/>
      <c r="M404" s="10"/>
    </row>
    <row r="405" ht="15.75" customHeight="1">
      <c r="A405" s="46"/>
      <c r="B405" s="10"/>
      <c r="C405" s="10"/>
      <c r="D405" s="10"/>
      <c r="E405" s="47"/>
      <c r="F405" s="10"/>
      <c r="G405" s="52"/>
      <c r="H405" s="10"/>
      <c r="I405" s="53"/>
      <c r="J405" s="54"/>
      <c r="K405" s="10"/>
      <c r="L405" s="10"/>
      <c r="M405" s="10"/>
    </row>
    <row r="406" ht="15.75" customHeight="1">
      <c r="A406" s="46"/>
      <c r="B406" s="10"/>
      <c r="C406" s="10"/>
      <c r="D406" s="10"/>
      <c r="E406" s="47"/>
      <c r="F406" s="10"/>
      <c r="G406" s="52"/>
      <c r="H406" s="10"/>
      <c r="I406" s="53"/>
      <c r="J406" s="54"/>
      <c r="K406" s="10"/>
      <c r="L406" s="10"/>
      <c r="M406" s="10"/>
    </row>
    <row r="407" ht="15.75" customHeight="1">
      <c r="A407" s="46"/>
      <c r="B407" s="10"/>
      <c r="C407" s="10"/>
      <c r="D407" s="10"/>
      <c r="E407" s="47"/>
      <c r="F407" s="10"/>
      <c r="G407" s="52"/>
      <c r="H407" s="10"/>
      <c r="I407" s="53"/>
      <c r="J407" s="54"/>
      <c r="K407" s="10"/>
      <c r="L407" s="10"/>
      <c r="M407" s="10"/>
    </row>
    <row r="408" ht="15.75" customHeight="1">
      <c r="A408" s="46"/>
      <c r="B408" s="10"/>
      <c r="C408" s="10"/>
      <c r="D408" s="10"/>
      <c r="E408" s="47"/>
      <c r="F408" s="10"/>
      <c r="G408" s="52"/>
      <c r="H408" s="10"/>
      <c r="I408" s="53"/>
      <c r="J408" s="54"/>
      <c r="K408" s="10"/>
      <c r="L408" s="10"/>
      <c r="M408" s="10"/>
    </row>
    <row r="409" ht="15.75" customHeight="1">
      <c r="A409" s="46"/>
      <c r="B409" s="10"/>
      <c r="C409" s="10"/>
      <c r="D409" s="10"/>
      <c r="E409" s="47"/>
      <c r="F409" s="10"/>
      <c r="G409" s="52"/>
      <c r="H409" s="10"/>
      <c r="I409" s="53"/>
      <c r="J409" s="54"/>
      <c r="K409" s="10"/>
      <c r="L409" s="10"/>
      <c r="M409" s="10"/>
    </row>
    <row r="410" ht="15.75" customHeight="1">
      <c r="A410" s="46"/>
      <c r="B410" s="10"/>
      <c r="C410" s="10"/>
      <c r="D410" s="10"/>
      <c r="E410" s="47"/>
      <c r="F410" s="10"/>
      <c r="G410" s="52"/>
      <c r="H410" s="10"/>
      <c r="I410" s="53"/>
      <c r="J410" s="54"/>
      <c r="K410" s="10"/>
      <c r="L410" s="10"/>
      <c r="M410" s="10"/>
    </row>
    <row r="411" ht="15.75" customHeight="1">
      <c r="A411" s="46"/>
      <c r="B411" s="10"/>
      <c r="C411" s="10"/>
      <c r="D411" s="10"/>
      <c r="E411" s="47"/>
      <c r="F411" s="10"/>
      <c r="G411" s="52"/>
      <c r="H411" s="10"/>
      <c r="I411" s="53"/>
      <c r="J411" s="54"/>
      <c r="K411" s="10"/>
      <c r="L411" s="10"/>
      <c r="M411" s="10"/>
    </row>
    <row r="412" ht="15.75" customHeight="1">
      <c r="A412" s="46"/>
      <c r="B412" s="10"/>
      <c r="C412" s="10"/>
      <c r="D412" s="10"/>
      <c r="E412" s="47"/>
      <c r="F412" s="10"/>
      <c r="G412" s="52"/>
      <c r="H412" s="10"/>
      <c r="I412" s="53"/>
      <c r="J412" s="54"/>
      <c r="K412" s="10"/>
      <c r="L412" s="10"/>
      <c r="M412" s="10"/>
    </row>
    <row r="413" ht="15.75" customHeight="1">
      <c r="A413" s="46"/>
      <c r="B413" s="10"/>
      <c r="C413" s="10"/>
      <c r="D413" s="10"/>
      <c r="E413" s="47"/>
      <c r="F413" s="10"/>
      <c r="G413" s="52"/>
      <c r="H413" s="10"/>
      <c r="I413" s="53"/>
      <c r="J413" s="54"/>
      <c r="K413" s="10"/>
      <c r="L413" s="10"/>
      <c r="M413" s="10"/>
    </row>
    <row r="414" ht="15.75" customHeight="1">
      <c r="A414" s="46"/>
      <c r="B414" s="10"/>
      <c r="C414" s="10"/>
      <c r="D414" s="10"/>
      <c r="E414" s="47"/>
      <c r="F414" s="10"/>
      <c r="G414" s="52"/>
      <c r="H414" s="10"/>
      <c r="I414" s="53"/>
      <c r="J414" s="54"/>
      <c r="K414" s="10"/>
      <c r="L414" s="10"/>
      <c r="M414" s="10"/>
    </row>
    <row r="415" ht="15.75" customHeight="1">
      <c r="A415" s="46"/>
      <c r="B415" s="10"/>
      <c r="C415" s="10"/>
      <c r="D415" s="10"/>
      <c r="E415" s="47"/>
      <c r="F415" s="10"/>
      <c r="G415" s="52"/>
      <c r="H415" s="10"/>
      <c r="I415" s="53"/>
      <c r="J415" s="54"/>
      <c r="K415" s="10"/>
      <c r="L415" s="10"/>
      <c r="M415" s="10"/>
    </row>
    <row r="416" ht="15.75" customHeight="1">
      <c r="A416" s="46"/>
      <c r="B416" s="10"/>
      <c r="C416" s="10"/>
      <c r="D416" s="10"/>
      <c r="E416" s="47"/>
      <c r="F416" s="10"/>
      <c r="G416" s="52"/>
      <c r="H416" s="10"/>
      <c r="I416" s="53"/>
      <c r="J416" s="54"/>
      <c r="K416" s="10"/>
      <c r="L416" s="10"/>
      <c r="M416" s="10"/>
    </row>
    <row r="417" ht="15.75" customHeight="1">
      <c r="A417" s="46"/>
      <c r="B417" s="10"/>
      <c r="C417" s="10"/>
      <c r="D417" s="10"/>
      <c r="E417" s="47"/>
      <c r="F417" s="10"/>
      <c r="G417" s="52"/>
      <c r="H417" s="10"/>
      <c r="I417" s="53"/>
      <c r="J417" s="54"/>
      <c r="K417" s="10"/>
      <c r="L417" s="10"/>
      <c r="M417" s="10"/>
    </row>
    <row r="418" ht="15.75" customHeight="1">
      <c r="A418" s="46"/>
      <c r="B418" s="10"/>
      <c r="C418" s="10"/>
      <c r="D418" s="10"/>
      <c r="E418" s="47"/>
      <c r="F418" s="10"/>
      <c r="G418" s="52"/>
      <c r="H418" s="10"/>
      <c r="I418" s="53"/>
      <c r="J418" s="54"/>
      <c r="K418" s="10"/>
      <c r="L418" s="10"/>
      <c r="M418" s="10"/>
    </row>
    <row r="419" ht="15.75" customHeight="1">
      <c r="A419" s="46"/>
      <c r="B419" s="10"/>
      <c r="C419" s="10"/>
      <c r="D419" s="10"/>
      <c r="E419" s="47"/>
      <c r="F419" s="10"/>
      <c r="G419" s="52"/>
      <c r="H419" s="10"/>
      <c r="I419" s="53"/>
      <c r="J419" s="54"/>
      <c r="K419" s="10"/>
      <c r="L419" s="10"/>
      <c r="M419" s="10"/>
    </row>
    <row r="420" ht="15.75" customHeight="1">
      <c r="A420" s="46"/>
      <c r="B420" s="10"/>
      <c r="C420" s="10"/>
      <c r="D420" s="10"/>
      <c r="E420" s="47"/>
      <c r="F420" s="10"/>
      <c r="G420" s="52"/>
      <c r="H420" s="10"/>
      <c r="I420" s="53"/>
      <c r="J420" s="54"/>
      <c r="K420" s="10"/>
      <c r="L420" s="10"/>
      <c r="M420" s="10"/>
    </row>
    <row r="421" ht="15.75" customHeight="1">
      <c r="A421" s="46"/>
      <c r="B421" s="10"/>
      <c r="C421" s="10"/>
      <c r="D421" s="10"/>
      <c r="E421" s="47"/>
      <c r="F421" s="10"/>
      <c r="G421" s="52"/>
      <c r="H421" s="10"/>
      <c r="I421" s="53"/>
      <c r="J421" s="54"/>
      <c r="K421" s="10"/>
      <c r="L421" s="10"/>
      <c r="M421" s="10"/>
    </row>
    <row r="422" ht="15.75" customHeight="1">
      <c r="A422" s="46"/>
      <c r="B422" s="10"/>
      <c r="C422" s="10"/>
      <c r="D422" s="10"/>
      <c r="E422" s="47"/>
      <c r="F422" s="10"/>
      <c r="G422" s="52"/>
      <c r="H422" s="10"/>
      <c r="I422" s="53"/>
      <c r="J422" s="54"/>
      <c r="K422" s="10"/>
      <c r="L422" s="10"/>
      <c r="M422" s="10"/>
    </row>
    <row r="423" ht="15.75" customHeight="1">
      <c r="A423" s="46"/>
      <c r="B423" s="10"/>
      <c r="C423" s="10"/>
      <c r="D423" s="10"/>
      <c r="E423" s="47"/>
      <c r="F423" s="10"/>
      <c r="G423" s="52"/>
      <c r="H423" s="10"/>
      <c r="I423" s="53"/>
      <c r="J423" s="54"/>
      <c r="K423" s="10"/>
      <c r="L423" s="10"/>
      <c r="M423" s="10"/>
    </row>
    <row r="424" ht="15.75" customHeight="1">
      <c r="A424" s="46"/>
      <c r="B424" s="10"/>
      <c r="C424" s="10"/>
      <c r="D424" s="10"/>
      <c r="E424" s="47"/>
      <c r="F424" s="10"/>
      <c r="G424" s="52"/>
      <c r="H424" s="10"/>
      <c r="I424" s="53"/>
      <c r="J424" s="54"/>
      <c r="K424" s="10"/>
      <c r="L424" s="10"/>
      <c r="M424" s="10"/>
    </row>
    <row r="425" ht="15.75" customHeight="1">
      <c r="A425" s="46"/>
      <c r="B425" s="10"/>
      <c r="C425" s="10"/>
      <c r="D425" s="10"/>
      <c r="E425" s="47"/>
      <c r="F425" s="10"/>
      <c r="G425" s="52"/>
      <c r="H425" s="10"/>
      <c r="I425" s="53"/>
      <c r="J425" s="54"/>
      <c r="K425" s="10"/>
      <c r="L425" s="10"/>
      <c r="M425" s="10"/>
    </row>
    <row r="426" ht="15.75" customHeight="1">
      <c r="A426" s="46"/>
      <c r="B426" s="10"/>
      <c r="C426" s="10"/>
      <c r="D426" s="10"/>
      <c r="E426" s="47"/>
      <c r="F426" s="10"/>
      <c r="G426" s="52"/>
      <c r="H426" s="10"/>
      <c r="I426" s="53"/>
      <c r="J426" s="54"/>
      <c r="K426" s="10"/>
      <c r="L426" s="10"/>
      <c r="M426" s="10"/>
    </row>
    <row r="427" ht="15.75" customHeight="1">
      <c r="A427" s="46"/>
      <c r="B427" s="10"/>
      <c r="C427" s="10"/>
      <c r="D427" s="10"/>
      <c r="E427" s="47"/>
      <c r="F427" s="10"/>
      <c r="G427" s="52"/>
      <c r="H427" s="10"/>
      <c r="I427" s="53"/>
      <c r="J427" s="54"/>
      <c r="K427" s="10"/>
      <c r="L427" s="10"/>
      <c r="M427" s="10"/>
    </row>
    <row r="428" ht="15.75" customHeight="1">
      <c r="A428" s="46"/>
      <c r="B428" s="10"/>
      <c r="C428" s="10"/>
      <c r="D428" s="10"/>
      <c r="E428" s="47"/>
      <c r="F428" s="10"/>
      <c r="G428" s="52"/>
      <c r="H428" s="10"/>
      <c r="I428" s="53"/>
      <c r="J428" s="54"/>
      <c r="K428" s="10"/>
      <c r="L428" s="10"/>
      <c r="M428" s="10"/>
    </row>
    <row r="429" ht="15.75" customHeight="1">
      <c r="A429" s="46"/>
      <c r="B429" s="10"/>
      <c r="C429" s="10"/>
      <c r="D429" s="10"/>
      <c r="E429" s="47"/>
      <c r="F429" s="10"/>
      <c r="G429" s="52"/>
      <c r="H429" s="10"/>
      <c r="I429" s="53"/>
      <c r="J429" s="54"/>
      <c r="K429" s="10"/>
      <c r="L429" s="10"/>
      <c r="M429" s="10"/>
    </row>
    <row r="430" ht="15.75" customHeight="1">
      <c r="A430" s="46"/>
      <c r="B430" s="10"/>
      <c r="C430" s="10"/>
      <c r="D430" s="10"/>
      <c r="E430" s="47"/>
      <c r="F430" s="10"/>
      <c r="G430" s="52"/>
      <c r="H430" s="10"/>
      <c r="I430" s="53"/>
      <c r="J430" s="54"/>
      <c r="K430" s="10"/>
      <c r="L430" s="10"/>
      <c r="M430" s="10"/>
    </row>
    <row r="431" ht="15.75" customHeight="1">
      <c r="A431" s="46"/>
      <c r="B431" s="10"/>
      <c r="C431" s="10"/>
      <c r="D431" s="10"/>
      <c r="E431" s="47"/>
      <c r="F431" s="10"/>
      <c r="G431" s="52"/>
      <c r="H431" s="10"/>
      <c r="I431" s="53"/>
      <c r="J431" s="54"/>
      <c r="K431" s="10"/>
      <c r="L431" s="10"/>
      <c r="M431" s="10"/>
    </row>
    <row r="432" ht="15.75" customHeight="1">
      <c r="A432" s="46"/>
      <c r="B432" s="10"/>
      <c r="C432" s="10"/>
      <c r="D432" s="10"/>
      <c r="E432" s="47"/>
      <c r="F432" s="10"/>
      <c r="G432" s="52"/>
      <c r="H432" s="10"/>
      <c r="I432" s="53"/>
      <c r="J432" s="54"/>
      <c r="K432" s="10"/>
      <c r="L432" s="10"/>
      <c r="M432" s="10"/>
    </row>
    <row r="433" ht="15.75" customHeight="1">
      <c r="A433" s="46"/>
      <c r="B433" s="10"/>
      <c r="C433" s="10"/>
      <c r="D433" s="10"/>
      <c r="E433" s="47"/>
      <c r="F433" s="10"/>
      <c r="G433" s="52"/>
      <c r="H433" s="10"/>
      <c r="I433" s="53"/>
      <c r="J433" s="54"/>
      <c r="K433" s="10"/>
      <c r="L433" s="10"/>
      <c r="M433" s="10"/>
    </row>
    <row r="434" ht="15.75" customHeight="1">
      <c r="A434" s="46"/>
      <c r="B434" s="10"/>
      <c r="C434" s="10"/>
      <c r="D434" s="10"/>
      <c r="E434" s="47"/>
      <c r="F434" s="10"/>
      <c r="G434" s="52"/>
      <c r="H434" s="10"/>
      <c r="I434" s="53"/>
      <c r="J434" s="54"/>
      <c r="K434" s="10"/>
      <c r="L434" s="10"/>
      <c r="M434" s="10"/>
    </row>
    <row r="435" ht="15.75" customHeight="1">
      <c r="A435" s="46"/>
      <c r="B435" s="10"/>
      <c r="C435" s="10"/>
      <c r="D435" s="10"/>
      <c r="E435" s="47"/>
      <c r="F435" s="10"/>
      <c r="G435" s="52"/>
      <c r="H435" s="10"/>
      <c r="I435" s="53"/>
      <c r="J435" s="54"/>
      <c r="K435" s="10"/>
      <c r="L435" s="10"/>
      <c r="M435" s="10"/>
    </row>
    <row r="436" ht="15.75" customHeight="1">
      <c r="A436" s="46"/>
      <c r="B436" s="10"/>
      <c r="C436" s="10"/>
      <c r="D436" s="10"/>
      <c r="E436" s="47"/>
      <c r="F436" s="10"/>
      <c r="G436" s="52"/>
      <c r="H436" s="10"/>
      <c r="I436" s="53"/>
      <c r="J436" s="54"/>
      <c r="K436" s="10"/>
      <c r="L436" s="10"/>
      <c r="M436" s="10"/>
    </row>
    <row r="437" ht="15.75" customHeight="1">
      <c r="A437" s="46"/>
      <c r="B437" s="10"/>
      <c r="C437" s="10"/>
      <c r="D437" s="10"/>
      <c r="E437" s="47"/>
      <c r="F437" s="10"/>
      <c r="G437" s="52"/>
      <c r="H437" s="10"/>
      <c r="I437" s="53"/>
      <c r="J437" s="54"/>
      <c r="K437" s="10"/>
      <c r="L437" s="10"/>
      <c r="M437" s="10"/>
    </row>
    <row r="438" ht="15.75" customHeight="1">
      <c r="A438" s="46"/>
      <c r="B438" s="10"/>
      <c r="C438" s="10"/>
      <c r="D438" s="10"/>
      <c r="E438" s="47"/>
      <c r="F438" s="10"/>
      <c r="G438" s="52"/>
      <c r="H438" s="10"/>
      <c r="I438" s="53"/>
      <c r="J438" s="54"/>
      <c r="K438" s="10"/>
      <c r="L438" s="10"/>
      <c r="M438" s="10"/>
    </row>
    <row r="439" ht="15.75" customHeight="1">
      <c r="A439" s="46"/>
      <c r="B439" s="10"/>
      <c r="C439" s="10"/>
      <c r="D439" s="10"/>
      <c r="E439" s="47"/>
      <c r="F439" s="10"/>
      <c r="G439" s="52"/>
      <c r="H439" s="10"/>
      <c r="I439" s="53"/>
      <c r="J439" s="54"/>
      <c r="K439" s="10"/>
      <c r="L439" s="10"/>
      <c r="M439" s="10"/>
    </row>
    <row r="440" ht="15.75" customHeight="1">
      <c r="A440" s="46"/>
      <c r="B440" s="10"/>
      <c r="C440" s="10"/>
      <c r="D440" s="10"/>
      <c r="E440" s="47"/>
      <c r="F440" s="10"/>
      <c r="G440" s="52"/>
      <c r="H440" s="10"/>
      <c r="I440" s="53"/>
      <c r="J440" s="54"/>
      <c r="K440" s="10"/>
      <c r="L440" s="10"/>
      <c r="M440" s="10"/>
    </row>
    <row r="441" ht="15.75" customHeight="1">
      <c r="A441" s="46"/>
      <c r="B441" s="10"/>
      <c r="C441" s="10"/>
      <c r="D441" s="10"/>
      <c r="E441" s="47"/>
      <c r="F441" s="10"/>
      <c r="G441" s="52"/>
      <c r="H441" s="10"/>
      <c r="I441" s="53"/>
      <c r="J441" s="54"/>
      <c r="K441" s="10"/>
      <c r="L441" s="10"/>
      <c r="M441" s="10"/>
    </row>
    <row r="442" ht="15.75" customHeight="1">
      <c r="A442" s="46"/>
      <c r="B442" s="10"/>
      <c r="C442" s="10"/>
      <c r="D442" s="10"/>
      <c r="E442" s="47"/>
      <c r="F442" s="10"/>
      <c r="G442" s="52"/>
      <c r="H442" s="10"/>
      <c r="I442" s="53"/>
      <c r="J442" s="54"/>
      <c r="K442" s="10"/>
      <c r="L442" s="10"/>
      <c r="M442" s="10"/>
    </row>
    <row r="443" ht="15.75" customHeight="1">
      <c r="A443" s="46"/>
      <c r="B443" s="10"/>
      <c r="C443" s="10"/>
      <c r="D443" s="10"/>
      <c r="E443" s="47"/>
      <c r="F443" s="10"/>
      <c r="G443" s="52"/>
      <c r="H443" s="10"/>
      <c r="I443" s="53"/>
      <c r="J443" s="54"/>
      <c r="K443" s="10"/>
      <c r="L443" s="10"/>
      <c r="M443" s="10"/>
    </row>
    <row r="444" ht="15.75" customHeight="1">
      <c r="A444" s="46"/>
      <c r="B444" s="10"/>
      <c r="C444" s="10"/>
      <c r="D444" s="10"/>
      <c r="E444" s="47"/>
      <c r="F444" s="10"/>
      <c r="G444" s="52"/>
      <c r="H444" s="10"/>
      <c r="I444" s="53"/>
      <c r="J444" s="54"/>
      <c r="K444" s="10"/>
      <c r="L444" s="10"/>
      <c r="M444" s="10"/>
    </row>
    <row r="445" ht="15.75" customHeight="1">
      <c r="A445" s="46"/>
      <c r="B445" s="10"/>
      <c r="C445" s="10"/>
      <c r="D445" s="10"/>
      <c r="E445" s="47"/>
      <c r="F445" s="10"/>
      <c r="G445" s="52"/>
      <c r="H445" s="10"/>
      <c r="I445" s="53"/>
      <c r="J445" s="54"/>
      <c r="K445" s="10"/>
      <c r="L445" s="10"/>
      <c r="M445" s="10"/>
    </row>
    <row r="446" ht="15.75" customHeight="1">
      <c r="A446" s="46"/>
      <c r="B446" s="10"/>
      <c r="C446" s="10"/>
      <c r="D446" s="10"/>
      <c r="E446" s="47"/>
      <c r="F446" s="10"/>
      <c r="G446" s="52"/>
      <c r="H446" s="10"/>
      <c r="I446" s="53"/>
      <c r="J446" s="54"/>
      <c r="K446" s="10"/>
      <c r="L446" s="10"/>
      <c r="M446" s="10"/>
    </row>
    <row r="447" ht="15.75" customHeight="1">
      <c r="A447" s="46"/>
      <c r="B447" s="10"/>
      <c r="C447" s="10"/>
      <c r="D447" s="10"/>
      <c r="E447" s="47"/>
      <c r="F447" s="10"/>
      <c r="G447" s="52"/>
      <c r="H447" s="10"/>
      <c r="I447" s="53"/>
      <c r="J447" s="54"/>
      <c r="K447" s="10"/>
      <c r="L447" s="10"/>
      <c r="M447" s="10"/>
    </row>
    <row r="448" ht="15.75" customHeight="1">
      <c r="A448" s="46"/>
      <c r="B448" s="10"/>
      <c r="C448" s="10"/>
      <c r="D448" s="10"/>
      <c r="E448" s="47"/>
      <c r="F448" s="10"/>
      <c r="G448" s="52"/>
      <c r="H448" s="10"/>
      <c r="I448" s="53"/>
      <c r="J448" s="54"/>
      <c r="K448" s="10"/>
      <c r="L448" s="10"/>
      <c r="M448" s="10"/>
    </row>
    <row r="449" ht="15.75" customHeight="1">
      <c r="A449" s="46"/>
      <c r="B449" s="10"/>
      <c r="C449" s="10"/>
      <c r="D449" s="10"/>
      <c r="E449" s="47"/>
      <c r="F449" s="10"/>
      <c r="G449" s="52"/>
      <c r="H449" s="10"/>
      <c r="I449" s="53"/>
      <c r="J449" s="54"/>
      <c r="K449" s="10"/>
      <c r="L449" s="10"/>
      <c r="M449" s="10"/>
    </row>
    <row r="450" ht="15.75" customHeight="1">
      <c r="A450" s="46"/>
      <c r="B450" s="10"/>
      <c r="C450" s="10"/>
      <c r="D450" s="10"/>
      <c r="E450" s="47"/>
      <c r="F450" s="10"/>
      <c r="G450" s="52"/>
      <c r="H450" s="10"/>
      <c r="I450" s="53"/>
      <c r="J450" s="54"/>
      <c r="K450" s="10"/>
      <c r="L450" s="10"/>
      <c r="M450" s="10"/>
    </row>
    <row r="451" ht="15.75" customHeight="1">
      <c r="A451" s="46"/>
      <c r="B451" s="10"/>
      <c r="C451" s="10"/>
      <c r="D451" s="10"/>
      <c r="E451" s="47"/>
      <c r="F451" s="10"/>
      <c r="G451" s="52"/>
      <c r="H451" s="10"/>
      <c r="I451" s="53"/>
      <c r="J451" s="54"/>
      <c r="K451" s="10"/>
      <c r="L451" s="10"/>
      <c r="M451" s="10"/>
    </row>
    <row r="452" ht="15.75" customHeight="1">
      <c r="A452" s="46"/>
      <c r="B452" s="10"/>
      <c r="C452" s="10"/>
      <c r="D452" s="10"/>
      <c r="E452" s="47"/>
      <c r="F452" s="10"/>
      <c r="G452" s="52"/>
      <c r="H452" s="10"/>
      <c r="I452" s="53"/>
      <c r="J452" s="54"/>
      <c r="K452" s="10"/>
      <c r="L452" s="10"/>
      <c r="M452" s="10"/>
    </row>
    <row r="453" ht="15.75" customHeight="1">
      <c r="A453" s="46"/>
      <c r="B453" s="10"/>
      <c r="C453" s="10"/>
      <c r="D453" s="10"/>
      <c r="E453" s="47"/>
      <c r="F453" s="10"/>
      <c r="G453" s="52"/>
      <c r="H453" s="10"/>
      <c r="I453" s="53"/>
      <c r="J453" s="54"/>
      <c r="K453" s="10"/>
      <c r="L453" s="10"/>
      <c r="M453" s="10"/>
    </row>
    <row r="454" ht="15.75" customHeight="1">
      <c r="A454" s="46"/>
      <c r="B454" s="10"/>
      <c r="C454" s="10"/>
      <c r="D454" s="10"/>
      <c r="E454" s="47"/>
      <c r="F454" s="10"/>
      <c r="G454" s="52"/>
      <c r="H454" s="10"/>
      <c r="I454" s="53"/>
      <c r="J454" s="54"/>
      <c r="K454" s="10"/>
      <c r="L454" s="10"/>
      <c r="M454" s="10"/>
    </row>
    <row r="455" ht="15.75" customHeight="1">
      <c r="A455" s="46"/>
      <c r="B455" s="10"/>
      <c r="C455" s="10"/>
      <c r="D455" s="10"/>
      <c r="E455" s="47"/>
      <c r="F455" s="10"/>
      <c r="G455" s="52"/>
      <c r="H455" s="10"/>
      <c r="I455" s="53"/>
      <c r="J455" s="54"/>
      <c r="K455" s="10"/>
      <c r="L455" s="10"/>
      <c r="M455" s="10"/>
    </row>
    <row r="456" ht="15.75" customHeight="1">
      <c r="A456" s="46"/>
      <c r="B456" s="10"/>
      <c r="C456" s="10"/>
      <c r="D456" s="10"/>
      <c r="E456" s="47"/>
      <c r="F456" s="10"/>
      <c r="G456" s="52"/>
      <c r="H456" s="10"/>
      <c r="I456" s="53"/>
      <c r="J456" s="54"/>
      <c r="K456" s="10"/>
      <c r="L456" s="10"/>
      <c r="M456" s="10"/>
    </row>
    <row r="457" ht="15.75" customHeight="1">
      <c r="A457" s="46"/>
      <c r="B457" s="10"/>
      <c r="C457" s="10"/>
      <c r="D457" s="10"/>
      <c r="E457" s="47"/>
      <c r="F457" s="10"/>
      <c r="G457" s="52"/>
      <c r="H457" s="10"/>
      <c r="I457" s="53"/>
      <c r="J457" s="54"/>
      <c r="K457" s="10"/>
      <c r="L457" s="10"/>
      <c r="M457" s="10"/>
    </row>
    <row r="458" ht="15.75" customHeight="1">
      <c r="A458" s="46"/>
      <c r="B458" s="10"/>
      <c r="C458" s="10"/>
      <c r="D458" s="10"/>
      <c r="E458" s="47"/>
      <c r="F458" s="10"/>
      <c r="G458" s="52"/>
      <c r="H458" s="10"/>
      <c r="I458" s="53"/>
      <c r="J458" s="54"/>
      <c r="K458" s="10"/>
      <c r="L458" s="10"/>
      <c r="M458" s="10"/>
    </row>
    <row r="459" ht="15.75" customHeight="1">
      <c r="A459" s="46"/>
      <c r="B459" s="10"/>
      <c r="C459" s="10"/>
      <c r="D459" s="10"/>
      <c r="E459" s="47"/>
      <c r="F459" s="10"/>
      <c r="G459" s="52"/>
      <c r="H459" s="10"/>
      <c r="I459" s="53"/>
      <c r="J459" s="54"/>
      <c r="K459" s="10"/>
      <c r="L459" s="10"/>
      <c r="M459" s="10"/>
    </row>
    <row r="460" ht="15.75" customHeight="1">
      <c r="A460" s="46"/>
      <c r="B460" s="10"/>
      <c r="C460" s="10"/>
      <c r="D460" s="10"/>
      <c r="E460" s="47"/>
      <c r="F460" s="10"/>
      <c r="G460" s="52"/>
      <c r="H460" s="10"/>
      <c r="I460" s="53"/>
      <c r="J460" s="54"/>
      <c r="K460" s="10"/>
      <c r="L460" s="10"/>
      <c r="M460" s="10"/>
    </row>
    <row r="461" ht="15.75" customHeight="1">
      <c r="A461" s="46"/>
      <c r="B461" s="10"/>
      <c r="C461" s="10"/>
      <c r="D461" s="10"/>
      <c r="E461" s="47"/>
      <c r="F461" s="10"/>
      <c r="G461" s="52"/>
      <c r="H461" s="10"/>
      <c r="I461" s="53"/>
      <c r="J461" s="54"/>
      <c r="K461" s="10"/>
      <c r="L461" s="10"/>
      <c r="M461" s="10"/>
    </row>
    <row r="462" ht="15.75" customHeight="1">
      <c r="A462" s="46"/>
      <c r="B462" s="10"/>
      <c r="C462" s="10"/>
      <c r="D462" s="10"/>
      <c r="E462" s="47"/>
      <c r="F462" s="10"/>
      <c r="G462" s="52"/>
      <c r="H462" s="10"/>
      <c r="I462" s="53"/>
      <c r="J462" s="54"/>
      <c r="K462" s="10"/>
      <c r="L462" s="10"/>
      <c r="M462" s="10"/>
    </row>
    <row r="463" ht="15.75" customHeight="1">
      <c r="A463" s="46"/>
      <c r="B463" s="10"/>
      <c r="C463" s="10"/>
      <c r="D463" s="10"/>
      <c r="E463" s="47"/>
      <c r="F463" s="10"/>
      <c r="G463" s="52"/>
      <c r="H463" s="10"/>
      <c r="I463" s="53"/>
      <c r="J463" s="54"/>
      <c r="K463" s="10"/>
      <c r="L463" s="10"/>
      <c r="M463" s="10"/>
    </row>
    <row r="464" ht="15.75" customHeight="1">
      <c r="A464" s="46"/>
      <c r="B464" s="10"/>
      <c r="C464" s="10"/>
      <c r="D464" s="10"/>
      <c r="E464" s="47"/>
      <c r="F464" s="10"/>
      <c r="G464" s="52"/>
      <c r="H464" s="10"/>
      <c r="I464" s="53"/>
      <c r="J464" s="54"/>
      <c r="K464" s="10"/>
      <c r="L464" s="10"/>
      <c r="M464" s="10"/>
    </row>
    <row r="465" ht="15.75" customHeight="1">
      <c r="A465" s="46"/>
      <c r="B465" s="10"/>
      <c r="C465" s="10"/>
      <c r="D465" s="10"/>
      <c r="E465" s="47"/>
      <c r="F465" s="10"/>
      <c r="G465" s="52"/>
      <c r="H465" s="10"/>
      <c r="I465" s="53"/>
      <c r="J465" s="54"/>
      <c r="K465" s="10"/>
      <c r="L465" s="10"/>
      <c r="M465" s="10"/>
    </row>
    <row r="466" ht="15.75" customHeight="1">
      <c r="A466" s="46"/>
      <c r="B466" s="10"/>
      <c r="C466" s="10"/>
      <c r="D466" s="10"/>
      <c r="E466" s="47"/>
      <c r="F466" s="10"/>
      <c r="G466" s="52"/>
      <c r="H466" s="10"/>
      <c r="I466" s="53"/>
      <c r="J466" s="54"/>
      <c r="K466" s="10"/>
      <c r="L466" s="10"/>
      <c r="M466" s="10"/>
    </row>
    <row r="467" ht="15.75" customHeight="1">
      <c r="A467" s="46"/>
      <c r="B467" s="10"/>
      <c r="C467" s="10"/>
      <c r="D467" s="10"/>
      <c r="E467" s="47"/>
      <c r="F467" s="10"/>
      <c r="G467" s="52"/>
      <c r="H467" s="10"/>
      <c r="I467" s="53"/>
      <c r="J467" s="54"/>
      <c r="K467" s="10"/>
      <c r="L467" s="10"/>
      <c r="M467" s="10"/>
    </row>
    <row r="468" ht="15.75" customHeight="1">
      <c r="A468" s="46"/>
      <c r="B468" s="10"/>
      <c r="C468" s="10"/>
      <c r="D468" s="10"/>
      <c r="E468" s="47"/>
      <c r="F468" s="10"/>
      <c r="G468" s="52"/>
      <c r="H468" s="10"/>
      <c r="I468" s="53"/>
      <c r="J468" s="54"/>
      <c r="K468" s="10"/>
      <c r="L468" s="10"/>
      <c r="M468" s="10"/>
    </row>
    <row r="469" ht="15.75" customHeight="1">
      <c r="A469" s="46"/>
      <c r="B469" s="10"/>
      <c r="C469" s="10"/>
      <c r="D469" s="10"/>
      <c r="E469" s="47"/>
      <c r="F469" s="10"/>
      <c r="G469" s="52"/>
      <c r="H469" s="10"/>
      <c r="I469" s="53"/>
      <c r="J469" s="54"/>
      <c r="K469" s="10"/>
      <c r="L469" s="10"/>
      <c r="M469" s="10"/>
    </row>
    <row r="470" ht="15.75" customHeight="1">
      <c r="A470" s="46"/>
      <c r="B470" s="10"/>
      <c r="C470" s="10"/>
      <c r="D470" s="10"/>
      <c r="E470" s="47"/>
      <c r="F470" s="10"/>
      <c r="G470" s="52"/>
      <c r="H470" s="10"/>
      <c r="I470" s="53"/>
      <c r="J470" s="54"/>
      <c r="K470" s="10"/>
      <c r="L470" s="10"/>
      <c r="M470" s="10"/>
    </row>
    <row r="471" ht="15.75" customHeight="1">
      <c r="A471" s="46"/>
      <c r="B471" s="10"/>
      <c r="C471" s="10"/>
      <c r="D471" s="10"/>
      <c r="E471" s="47"/>
      <c r="F471" s="10"/>
      <c r="G471" s="52"/>
      <c r="H471" s="10"/>
      <c r="I471" s="53"/>
      <c r="J471" s="54"/>
      <c r="K471" s="10"/>
      <c r="L471" s="10"/>
      <c r="M471" s="10"/>
    </row>
    <row r="472" ht="15.75" customHeight="1">
      <c r="A472" s="46"/>
      <c r="B472" s="10"/>
      <c r="C472" s="10"/>
      <c r="D472" s="10"/>
      <c r="E472" s="47"/>
      <c r="F472" s="10"/>
      <c r="G472" s="52"/>
      <c r="H472" s="10"/>
      <c r="I472" s="53"/>
      <c r="J472" s="54"/>
      <c r="K472" s="10"/>
      <c r="L472" s="10"/>
      <c r="M472" s="10"/>
    </row>
    <row r="473" ht="15.75" customHeight="1">
      <c r="A473" s="46"/>
      <c r="B473" s="10"/>
      <c r="C473" s="10"/>
      <c r="D473" s="10"/>
      <c r="E473" s="47"/>
      <c r="F473" s="10"/>
      <c r="G473" s="52"/>
      <c r="H473" s="10"/>
      <c r="I473" s="53"/>
      <c r="J473" s="54"/>
      <c r="K473" s="10"/>
      <c r="L473" s="10"/>
      <c r="M473" s="10"/>
    </row>
    <row r="474" ht="15.75" customHeight="1">
      <c r="A474" s="46"/>
      <c r="B474" s="10"/>
      <c r="C474" s="10"/>
      <c r="D474" s="10"/>
      <c r="E474" s="47"/>
      <c r="F474" s="10"/>
      <c r="G474" s="52"/>
      <c r="H474" s="10"/>
      <c r="I474" s="53"/>
      <c r="J474" s="54"/>
      <c r="K474" s="10"/>
      <c r="L474" s="10"/>
      <c r="M474" s="10"/>
    </row>
    <row r="475" ht="15.75" customHeight="1">
      <c r="A475" s="46"/>
      <c r="B475" s="10"/>
      <c r="C475" s="10"/>
      <c r="D475" s="10"/>
      <c r="E475" s="47"/>
      <c r="F475" s="10"/>
      <c r="G475" s="52"/>
      <c r="H475" s="10"/>
      <c r="I475" s="53"/>
      <c r="J475" s="54"/>
      <c r="K475" s="10"/>
      <c r="L475" s="10"/>
      <c r="M475" s="10"/>
    </row>
    <row r="476" ht="15.75" customHeight="1">
      <c r="A476" s="46"/>
      <c r="B476" s="10"/>
      <c r="C476" s="10"/>
      <c r="D476" s="10"/>
      <c r="E476" s="47"/>
      <c r="F476" s="10"/>
      <c r="G476" s="52"/>
      <c r="H476" s="10"/>
      <c r="I476" s="53"/>
      <c r="J476" s="54"/>
      <c r="K476" s="10"/>
      <c r="L476" s="10"/>
      <c r="M476" s="10"/>
    </row>
    <row r="477" ht="15.75" customHeight="1">
      <c r="A477" s="46"/>
      <c r="B477" s="10"/>
      <c r="C477" s="10"/>
      <c r="D477" s="10"/>
      <c r="E477" s="47"/>
      <c r="F477" s="10"/>
      <c r="G477" s="52"/>
      <c r="H477" s="10"/>
      <c r="I477" s="53"/>
      <c r="J477" s="54"/>
      <c r="K477" s="10"/>
      <c r="L477" s="10"/>
      <c r="M477" s="10"/>
    </row>
    <row r="478" ht="15.75" customHeight="1">
      <c r="A478" s="46"/>
      <c r="B478" s="10"/>
      <c r="C478" s="10"/>
      <c r="D478" s="10"/>
      <c r="E478" s="47"/>
      <c r="F478" s="10"/>
      <c r="G478" s="52"/>
      <c r="H478" s="10"/>
      <c r="I478" s="53"/>
      <c r="J478" s="54"/>
      <c r="K478" s="10"/>
      <c r="L478" s="10"/>
      <c r="M478" s="10"/>
    </row>
    <row r="479" ht="15.75" customHeight="1">
      <c r="A479" s="46"/>
      <c r="B479" s="10"/>
      <c r="C479" s="10"/>
      <c r="D479" s="10"/>
      <c r="E479" s="47"/>
      <c r="F479" s="10"/>
      <c r="G479" s="52"/>
      <c r="H479" s="10"/>
      <c r="I479" s="53"/>
      <c r="J479" s="54"/>
      <c r="K479" s="10"/>
      <c r="L479" s="10"/>
      <c r="M479" s="10"/>
    </row>
    <row r="480" ht="15.75" customHeight="1">
      <c r="A480" s="46"/>
      <c r="B480" s="10"/>
      <c r="C480" s="10"/>
      <c r="D480" s="10"/>
      <c r="E480" s="47"/>
      <c r="F480" s="10"/>
      <c r="G480" s="52"/>
      <c r="H480" s="10"/>
      <c r="I480" s="53"/>
      <c r="J480" s="54"/>
      <c r="K480" s="10"/>
      <c r="L480" s="10"/>
      <c r="M480" s="10"/>
    </row>
    <row r="481" ht="15.75" customHeight="1">
      <c r="A481" s="46"/>
      <c r="B481" s="10"/>
      <c r="C481" s="10"/>
      <c r="D481" s="10"/>
      <c r="E481" s="47"/>
      <c r="F481" s="10"/>
      <c r="G481" s="52"/>
      <c r="H481" s="10"/>
      <c r="I481" s="53"/>
      <c r="J481" s="54"/>
      <c r="K481" s="10"/>
      <c r="L481" s="10"/>
      <c r="M481" s="10"/>
    </row>
    <row r="482" ht="15.75" customHeight="1">
      <c r="A482" s="46"/>
      <c r="B482" s="10"/>
      <c r="C482" s="10"/>
      <c r="D482" s="10"/>
      <c r="E482" s="47"/>
      <c r="F482" s="10"/>
      <c r="G482" s="52"/>
      <c r="H482" s="10"/>
      <c r="I482" s="53"/>
      <c r="J482" s="54"/>
      <c r="K482" s="10"/>
      <c r="L482" s="10"/>
      <c r="M482" s="10"/>
    </row>
    <row r="483" ht="15.75" customHeight="1">
      <c r="A483" s="46"/>
      <c r="B483" s="10"/>
      <c r="C483" s="10"/>
      <c r="D483" s="10"/>
      <c r="E483" s="47"/>
      <c r="F483" s="10"/>
      <c r="G483" s="52"/>
      <c r="H483" s="10"/>
      <c r="I483" s="53"/>
      <c r="J483" s="54"/>
      <c r="K483" s="10"/>
      <c r="L483" s="10"/>
      <c r="M483" s="10"/>
    </row>
    <row r="484" ht="15.75" customHeight="1">
      <c r="A484" s="46"/>
      <c r="B484" s="10"/>
      <c r="C484" s="10"/>
      <c r="D484" s="10"/>
      <c r="E484" s="47"/>
      <c r="F484" s="10"/>
      <c r="G484" s="52"/>
      <c r="H484" s="10"/>
      <c r="I484" s="53"/>
      <c r="J484" s="54"/>
      <c r="K484" s="10"/>
      <c r="L484" s="10"/>
      <c r="M484" s="10"/>
    </row>
    <row r="485" ht="15.75" customHeight="1">
      <c r="A485" s="46"/>
      <c r="B485" s="10"/>
      <c r="C485" s="10"/>
      <c r="D485" s="10"/>
      <c r="E485" s="47"/>
      <c r="F485" s="10"/>
      <c r="G485" s="52"/>
      <c r="H485" s="10"/>
      <c r="I485" s="53"/>
      <c r="J485" s="54"/>
      <c r="K485" s="10"/>
      <c r="L485" s="10"/>
      <c r="M485" s="10"/>
    </row>
    <row r="486" ht="15.75" customHeight="1">
      <c r="A486" s="46"/>
      <c r="B486" s="10"/>
      <c r="C486" s="10"/>
      <c r="D486" s="10"/>
      <c r="E486" s="47"/>
      <c r="F486" s="10"/>
      <c r="G486" s="52"/>
      <c r="H486" s="10"/>
      <c r="I486" s="53"/>
      <c r="J486" s="54"/>
      <c r="K486" s="10"/>
      <c r="L486" s="10"/>
      <c r="M486" s="10"/>
    </row>
    <row r="487" ht="15.75" customHeight="1">
      <c r="A487" s="46"/>
      <c r="B487" s="10"/>
      <c r="C487" s="10"/>
      <c r="D487" s="10"/>
      <c r="E487" s="47"/>
      <c r="F487" s="10"/>
      <c r="G487" s="52"/>
      <c r="H487" s="10"/>
      <c r="I487" s="53"/>
      <c r="J487" s="54"/>
      <c r="K487" s="10"/>
      <c r="L487" s="10"/>
      <c r="M487" s="10"/>
    </row>
    <row r="488" ht="15.75" customHeight="1">
      <c r="A488" s="46"/>
      <c r="B488" s="10"/>
      <c r="C488" s="10"/>
      <c r="D488" s="10"/>
      <c r="E488" s="47"/>
      <c r="F488" s="10"/>
      <c r="G488" s="52"/>
      <c r="H488" s="10"/>
      <c r="I488" s="53"/>
      <c r="J488" s="54"/>
      <c r="K488" s="10"/>
      <c r="L488" s="10"/>
      <c r="M488" s="10"/>
    </row>
    <row r="489" ht="15.75" customHeight="1">
      <c r="A489" s="46"/>
      <c r="B489" s="10"/>
      <c r="C489" s="10"/>
      <c r="D489" s="10"/>
      <c r="E489" s="47"/>
      <c r="F489" s="10"/>
      <c r="G489" s="52"/>
      <c r="H489" s="10"/>
      <c r="I489" s="53"/>
      <c r="J489" s="54"/>
      <c r="K489" s="10"/>
      <c r="L489" s="10"/>
      <c r="M489" s="10"/>
    </row>
    <row r="490" ht="15.75" customHeight="1">
      <c r="A490" s="46"/>
      <c r="B490" s="10"/>
      <c r="C490" s="10"/>
      <c r="D490" s="10"/>
      <c r="E490" s="47"/>
      <c r="F490" s="10"/>
      <c r="G490" s="52"/>
      <c r="H490" s="10"/>
      <c r="I490" s="53"/>
      <c r="J490" s="54"/>
      <c r="K490" s="10"/>
      <c r="L490" s="10"/>
      <c r="M490" s="10"/>
    </row>
    <row r="491" ht="15.75" customHeight="1">
      <c r="A491" s="46"/>
      <c r="B491" s="10"/>
      <c r="C491" s="10"/>
      <c r="D491" s="10"/>
      <c r="E491" s="47"/>
      <c r="F491" s="10"/>
      <c r="G491" s="52"/>
      <c r="H491" s="10"/>
      <c r="I491" s="53"/>
      <c r="J491" s="54"/>
      <c r="K491" s="10"/>
      <c r="L491" s="10"/>
      <c r="M491" s="10"/>
    </row>
    <row r="492" ht="15.75" customHeight="1">
      <c r="A492" s="46"/>
      <c r="B492" s="10"/>
      <c r="C492" s="10"/>
      <c r="D492" s="10"/>
      <c r="E492" s="47"/>
      <c r="F492" s="10"/>
      <c r="G492" s="52"/>
      <c r="H492" s="10"/>
      <c r="I492" s="53"/>
      <c r="J492" s="54"/>
      <c r="K492" s="10"/>
      <c r="L492" s="10"/>
      <c r="M492" s="10"/>
    </row>
    <row r="493" ht="15.75" customHeight="1">
      <c r="A493" s="46"/>
      <c r="B493" s="10"/>
      <c r="C493" s="10"/>
      <c r="D493" s="10"/>
      <c r="E493" s="47"/>
      <c r="F493" s="10"/>
      <c r="G493" s="52"/>
      <c r="H493" s="10"/>
      <c r="I493" s="53"/>
      <c r="J493" s="54"/>
      <c r="K493" s="10"/>
      <c r="L493" s="10"/>
      <c r="M493" s="10"/>
    </row>
    <row r="494" ht="15.75" customHeight="1">
      <c r="A494" s="46"/>
      <c r="B494" s="10"/>
      <c r="C494" s="10"/>
      <c r="D494" s="10"/>
      <c r="E494" s="47"/>
      <c r="F494" s="10"/>
      <c r="G494" s="52"/>
      <c r="H494" s="10"/>
      <c r="I494" s="53"/>
      <c r="J494" s="54"/>
      <c r="K494" s="10"/>
      <c r="L494" s="10"/>
      <c r="M494" s="10"/>
    </row>
    <row r="495" ht="15.75" customHeight="1">
      <c r="A495" s="46"/>
      <c r="B495" s="10"/>
      <c r="C495" s="10"/>
      <c r="D495" s="10"/>
      <c r="E495" s="47"/>
      <c r="F495" s="10"/>
      <c r="G495" s="52"/>
      <c r="H495" s="10"/>
      <c r="I495" s="53"/>
      <c r="J495" s="54"/>
      <c r="K495" s="10"/>
      <c r="L495" s="10"/>
      <c r="M495" s="10"/>
    </row>
    <row r="496" ht="15.75" customHeight="1">
      <c r="A496" s="46"/>
      <c r="B496" s="10"/>
      <c r="C496" s="10"/>
      <c r="D496" s="10"/>
      <c r="E496" s="47"/>
      <c r="F496" s="10"/>
      <c r="G496" s="52"/>
      <c r="H496" s="10"/>
      <c r="I496" s="53"/>
      <c r="J496" s="54"/>
      <c r="K496" s="10"/>
      <c r="L496" s="10"/>
      <c r="M496" s="10"/>
    </row>
    <row r="497" ht="15.75" customHeight="1">
      <c r="A497" s="46"/>
      <c r="B497" s="10"/>
      <c r="C497" s="10"/>
      <c r="D497" s="10"/>
      <c r="E497" s="47"/>
      <c r="F497" s="10"/>
      <c r="G497" s="52"/>
      <c r="H497" s="10"/>
      <c r="I497" s="53"/>
      <c r="J497" s="54"/>
      <c r="K497" s="10"/>
      <c r="L497" s="10"/>
      <c r="M497" s="10"/>
    </row>
    <row r="498" ht="15.75" customHeight="1">
      <c r="A498" s="46"/>
      <c r="B498" s="10"/>
      <c r="C498" s="10"/>
      <c r="D498" s="10"/>
      <c r="E498" s="47"/>
      <c r="F498" s="10"/>
      <c r="G498" s="52"/>
      <c r="H498" s="10"/>
      <c r="I498" s="53"/>
      <c r="J498" s="54"/>
      <c r="K498" s="10"/>
      <c r="L498" s="10"/>
      <c r="M498" s="10"/>
    </row>
    <row r="499" ht="15.75" customHeight="1">
      <c r="A499" s="46"/>
      <c r="B499" s="10"/>
      <c r="C499" s="10"/>
      <c r="D499" s="10"/>
      <c r="E499" s="47"/>
      <c r="F499" s="10"/>
      <c r="G499" s="52"/>
      <c r="H499" s="10"/>
      <c r="I499" s="53"/>
      <c r="J499" s="54"/>
      <c r="K499" s="10"/>
      <c r="L499" s="10"/>
      <c r="M499" s="10"/>
    </row>
    <row r="500" ht="15.75" customHeight="1">
      <c r="A500" s="46"/>
      <c r="B500" s="10"/>
      <c r="C500" s="10"/>
      <c r="D500" s="10"/>
      <c r="E500" s="47"/>
      <c r="F500" s="10"/>
      <c r="G500" s="52"/>
      <c r="H500" s="10"/>
      <c r="I500" s="53"/>
      <c r="J500" s="54"/>
      <c r="K500" s="10"/>
      <c r="L500" s="10"/>
      <c r="M500" s="10"/>
    </row>
    <row r="501" ht="15.75" customHeight="1">
      <c r="A501" s="46"/>
      <c r="B501" s="10"/>
      <c r="C501" s="10"/>
      <c r="D501" s="10"/>
      <c r="E501" s="47"/>
      <c r="F501" s="10"/>
      <c r="G501" s="52"/>
      <c r="H501" s="10"/>
      <c r="I501" s="53"/>
      <c r="J501" s="54"/>
      <c r="K501" s="10"/>
      <c r="L501" s="10"/>
      <c r="M501" s="10"/>
    </row>
    <row r="502" ht="15.75" customHeight="1">
      <c r="A502" s="46"/>
      <c r="B502" s="10"/>
      <c r="C502" s="10"/>
      <c r="D502" s="10"/>
      <c r="E502" s="47"/>
      <c r="F502" s="10"/>
      <c r="G502" s="52"/>
      <c r="H502" s="10"/>
      <c r="I502" s="53"/>
      <c r="J502" s="54"/>
      <c r="K502" s="10"/>
      <c r="L502" s="10"/>
      <c r="M502" s="10"/>
    </row>
    <row r="503" ht="15.75" customHeight="1">
      <c r="A503" s="46"/>
      <c r="B503" s="10"/>
      <c r="C503" s="10"/>
      <c r="D503" s="10"/>
      <c r="E503" s="47"/>
      <c r="F503" s="10"/>
      <c r="G503" s="52"/>
      <c r="H503" s="10"/>
      <c r="I503" s="53"/>
      <c r="J503" s="54"/>
      <c r="K503" s="10"/>
      <c r="L503" s="10"/>
      <c r="M503" s="10"/>
    </row>
    <row r="504" ht="15.75" customHeight="1">
      <c r="A504" s="46"/>
      <c r="B504" s="10"/>
      <c r="C504" s="10"/>
      <c r="D504" s="10"/>
      <c r="E504" s="47"/>
      <c r="F504" s="10"/>
      <c r="G504" s="52"/>
      <c r="H504" s="10"/>
      <c r="I504" s="53"/>
      <c r="J504" s="54"/>
      <c r="K504" s="10"/>
      <c r="L504" s="10"/>
      <c r="M504" s="10"/>
    </row>
    <row r="505" ht="15.75" customHeight="1">
      <c r="A505" s="46"/>
      <c r="B505" s="10"/>
      <c r="C505" s="10"/>
      <c r="D505" s="10"/>
      <c r="E505" s="47"/>
      <c r="F505" s="10"/>
      <c r="G505" s="52"/>
      <c r="H505" s="10"/>
      <c r="I505" s="53"/>
      <c r="J505" s="54"/>
      <c r="K505" s="10"/>
      <c r="L505" s="10"/>
      <c r="M505" s="10"/>
    </row>
    <row r="506" ht="15.75" customHeight="1">
      <c r="A506" s="46"/>
      <c r="B506" s="10"/>
      <c r="C506" s="10"/>
      <c r="D506" s="10"/>
      <c r="E506" s="47"/>
      <c r="F506" s="10"/>
      <c r="G506" s="52"/>
      <c r="H506" s="10"/>
      <c r="I506" s="53"/>
      <c r="J506" s="54"/>
      <c r="K506" s="10"/>
      <c r="L506" s="10"/>
      <c r="M506" s="10"/>
    </row>
    <row r="507" ht="15.75" customHeight="1">
      <c r="A507" s="46"/>
      <c r="B507" s="10"/>
      <c r="C507" s="10"/>
      <c r="D507" s="10"/>
      <c r="E507" s="47"/>
      <c r="F507" s="10"/>
      <c r="G507" s="52"/>
      <c r="H507" s="10"/>
      <c r="I507" s="53"/>
      <c r="J507" s="54"/>
      <c r="K507" s="10"/>
      <c r="L507" s="10"/>
      <c r="M507" s="10"/>
    </row>
    <row r="508" ht="15.75" customHeight="1">
      <c r="A508" s="46"/>
      <c r="B508" s="10"/>
      <c r="C508" s="10"/>
      <c r="D508" s="10"/>
      <c r="E508" s="47"/>
      <c r="F508" s="10"/>
      <c r="G508" s="52"/>
      <c r="H508" s="10"/>
      <c r="I508" s="53"/>
      <c r="J508" s="54"/>
      <c r="K508" s="10"/>
      <c r="L508" s="10"/>
      <c r="M508" s="10"/>
    </row>
    <row r="509" ht="15.75" customHeight="1">
      <c r="A509" s="46"/>
      <c r="B509" s="10"/>
      <c r="C509" s="10"/>
      <c r="D509" s="10"/>
      <c r="E509" s="47"/>
      <c r="F509" s="10"/>
      <c r="G509" s="52"/>
      <c r="H509" s="10"/>
      <c r="I509" s="53"/>
      <c r="J509" s="54"/>
      <c r="K509" s="10"/>
      <c r="L509" s="10"/>
      <c r="M509" s="10"/>
    </row>
    <row r="510" ht="15.75" customHeight="1">
      <c r="A510" s="46"/>
      <c r="B510" s="10"/>
      <c r="C510" s="10"/>
      <c r="D510" s="10"/>
      <c r="E510" s="47"/>
      <c r="F510" s="10"/>
      <c r="G510" s="52"/>
      <c r="H510" s="10"/>
      <c r="I510" s="53"/>
      <c r="J510" s="54"/>
      <c r="K510" s="10"/>
      <c r="L510" s="10"/>
      <c r="M510" s="10"/>
    </row>
    <row r="511" ht="15.75" customHeight="1">
      <c r="A511" s="46"/>
      <c r="B511" s="10"/>
      <c r="C511" s="10"/>
      <c r="D511" s="10"/>
      <c r="E511" s="47"/>
      <c r="F511" s="10"/>
      <c r="G511" s="52"/>
      <c r="H511" s="10"/>
      <c r="I511" s="53"/>
      <c r="J511" s="54"/>
      <c r="K511" s="10"/>
      <c r="L511" s="10"/>
      <c r="M511" s="10"/>
    </row>
    <row r="512" ht="15.75" customHeight="1">
      <c r="A512" s="46"/>
      <c r="B512" s="10"/>
      <c r="C512" s="10"/>
      <c r="D512" s="10"/>
      <c r="E512" s="47"/>
      <c r="F512" s="10"/>
      <c r="G512" s="52"/>
      <c r="H512" s="10"/>
      <c r="I512" s="53"/>
      <c r="J512" s="54"/>
      <c r="K512" s="10"/>
      <c r="L512" s="10"/>
      <c r="M512" s="10"/>
    </row>
    <row r="513" ht="15.75" customHeight="1">
      <c r="A513" s="46"/>
      <c r="B513" s="10"/>
      <c r="C513" s="10"/>
      <c r="D513" s="10"/>
      <c r="E513" s="47"/>
      <c r="F513" s="10"/>
      <c r="G513" s="52"/>
      <c r="H513" s="10"/>
      <c r="I513" s="53"/>
      <c r="J513" s="54"/>
      <c r="K513" s="10"/>
      <c r="L513" s="10"/>
      <c r="M513" s="10"/>
    </row>
    <row r="514" ht="15.75" customHeight="1">
      <c r="A514" s="46"/>
      <c r="B514" s="10"/>
      <c r="C514" s="10"/>
      <c r="D514" s="10"/>
      <c r="E514" s="47"/>
      <c r="F514" s="10"/>
      <c r="G514" s="52"/>
      <c r="H514" s="10"/>
      <c r="I514" s="53"/>
      <c r="J514" s="54"/>
      <c r="K514" s="10"/>
      <c r="L514" s="10"/>
      <c r="M514" s="10"/>
    </row>
    <row r="515" ht="15.75" customHeight="1">
      <c r="A515" s="46"/>
      <c r="B515" s="10"/>
      <c r="C515" s="10"/>
      <c r="D515" s="10"/>
      <c r="E515" s="47"/>
      <c r="F515" s="10"/>
      <c r="G515" s="52"/>
      <c r="H515" s="10"/>
      <c r="I515" s="53"/>
      <c r="J515" s="54"/>
      <c r="K515" s="10"/>
      <c r="L515" s="10"/>
      <c r="M515" s="10"/>
    </row>
    <row r="516" ht="15.75" customHeight="1">
      <c r="A516" s="46"/>
      <c r="B516" s="10"/>
      <c r="C516" s="10"/>
      <c r="D516" s="10"/>
      <c r="E516" s="47"/>
      <c r="F516" s="10"/>
      <c r="G516" s="52"/>
      <c r="H516" s="10"/>
      <c r="I516" s="53"/>
      <c r="J516" s="54"/>
      <c r="K516" s="10"/>
      <c r="L516" s="10"/>
      <c r="M516" s="10"/>
    </row>
    <row r="517" ht="15.75" customHeight="1">
      <c r="A517" s="46"/>
      <c r="B517" s="10"/>
      <c r="C517" s="10"/>
      <c r="D517" s="10"/>
      <c r="E517" s="47"/>
      <c r="F517" s="10"/>
      <c r="G517" s="52"/>
      <c r="H517" s="10"/>
      <c r="I517" s="53"/>
      <c r="J517" s="54"/>
      <c r="K517" s="10"/>
      <c r="L517" s="10"/>
      <c r="M517" s="10"/>
    </row>
    <row r="518" ht="15.75" customHeight="1">
      <c r="A518" s="46"/>
      <c r="B518" s="10"/>
      <c r="C518" s="10"/>
      <c r="D518" s="10"/>
      <c r="E518" s="47"/>
      <c r="F518" s="10"/>
      <c r="G518" s="52"/>
      <c r="H518" s="10"/>
      <c r="I518" s="53"/>
      <c r="J518" s="54"/>
      <c r="K518" s="10"/>
      <c r="L518" s="10"/>
      <c r="M518" s="10"/>
    </row>
    <row r="519" ht="15.75" customHeight="1">
      <c r="A519" s="46"/>
      <c r="B519" s="10"/>
      <c r="C519" s="10"/>
      <c r="D519" s="10"/>
      <c r="E519" s="47"/>
      <c r="F519" s="10"/>
      <c r="G519" s="52"/>
      <c r="H519" s="10"/>
      <c r="I519" s="53"/>
      <c r="J519" s="54"/>
      <c r="K519" s="10"/>
      <c r="L519" s="10"/>
      <c r="M519" s="10"/>
    </row>
    <row r="520" ht="15.75" customHeight="1">
      <c r="A520" s="46"/>
      <c r="B520" s="10"/>
      <c r="C520" s="10"/>
      <c r="D520" s="10"/>
      <c r="E520" s="47"/>
      <c r="F520" s="10"/>
      <c r="G520" s="52"/>
      <c r="H520" s="10"/>
      <c r="I520" s="53"/>
      <c r="J520" s="54"/>
      <c r="K520" s="10"/>
      <c r="L520" s="10"/>
      <c r="M520" s="10"/>
    </row>
    <row r="521" ht="15.75" customHeight="1">
      <c r="A521" s="46"/>
      <c r="B521" s="10"/>
      <c r="C521" s="10"/>
      <c r="D521" s="10"/>
      <c r="E521" s="47"/>
      <c r="F521" s="10"/>
      <c r="G521" s="52"/>
      <c r="H521" s="10"/>
      <c r="I521" s="53"/>
      <c r="J521" s="54"/>
      <c r="K521" s="10"/>
      <c r="L521" s="10"/>
      <c r="M521" s="10"/>
    </row>
    <row r="522" ht="15.75" customHeight="1">
      <c r="A522" s="46"/>
      <c r="B522" s="10"/>
      <c r="C522" s="10"/>
      <c r="D522" s="10"/>
      <c r="E522" s="47"/>
      <c r="F522" s="10"/>
      <c r="G522" s="52"/>
      <c r="H522" s="10"/>
      <c r="I522" s="53"/>
      <c r="J522" s="54"/>
      <c r="K522" s="10"/>
      <c r="L522" s="10"/>
      <c r="M522" s="10"/>
    </row>
    <row r="523" ht="15.75" customHeight="1">
      <c r="A523" s="46"/>
      <c r="B523" s="10"/>
      <c r="C523" s="10"/>
      <c r="D523" s="10"/>
      <c r="E523" s="47"/>
      <c r="F523" s="10"/>
      <c r="G523" s="52"/>
      <c r="H523" s="10"/>
      <c r="I523" s="53"/>
      <c r="J523" s="54"/>
      <c r="K523" s="10"/>
      <c r="L523" s="10"/>
      <c r="M523" s="10"/>
    </row>
    <row r="524" ht="15.75" customHeight="1">
      <c r="A524" s="46"/>
      <c r="B524" s="10"/>
      <c r="C524" s="10"/>
      <c r="D524" s="10"/>
      <c r="E524" s="47"/>
      <c r="F524" s="10"/>
      <c r="G524" s="52"/>
      <c r="H524" s="10"/>
      <c r="I524" s="53"/>
      <c r="J524" s="54"/>
      <c r="K524" s="10"/>
      <c r="L524" s="10"/>
      <c r="M524" s="10"/>
    </row>
    <row r="525" ht="15.75" customHeight="1">
      <c r="A525" s="46"/>
      <c r="B525" s="10"/>
      <c r="C525" s="10"/>
      <c r="D525" s="10"/>
      <c r="E525" s="47"/>
      <c r="F525" s="10"/>
      <c r="G525" s="52"/>
      <c r="H525" s="10"/>
      <c r="I525" s="53"/>
      <c r="J525" s="54"/>
      <c r="K525" s="10"/>
      <c r="L525" s="10"/>
      <c r="M525" s="10"/>
    </row>
    <row r="526" ht="15.75" customHeight="1">
      <c r="A526" s="46"/>
      <c r="B526" s="10"/>
      <c r="C526" s="10"/>
      <c r="D526" s="10"/>
      <c r="E526" s="47"/>
      <c r="F526" s="10"/>
      <c r="G526" s="52"/>
      <c r="H526" s="10"/>
      <c r="I526" s="53"/>
      <c r="J526" s="54"/>
      <c r="K526" s="10"/>
      <c r="L526" s="10"/>
      <c r="M526" s="10"/>
    </row>
    <row r="527" ht="15.75" customHeight="1">
      <c r="A527" s="46"/>
      <c r="B527" s="10"/>
      <c r="C527" s="10"/>
      <c r="D527" s="10"/>
      <c r="E527" s="47"/>
      <c r="F527" s="10"/>
      <c r="G527" s="52"/>
      <c r="H527" s="10"/>
      <c r="I527" s="53"/>
      <c r="J527" s="54"/>
      <c r="K527" s="10"/>
      <c r="L527" s="10"/>
      <c r="M527" s="10"/>
    </row>
    <row r="528" ht="15.75" customHeight="1">
      <c r="A528" s="46"/>
      <c r="B528" s="10"/>
      <c r="C528" s="10"/>
      <c r="D528" s="10"/>
      <c r="E528" s="47"/>
      <c r="F528" s="10"/>
      <c r="G528" s="52"/>
      <c r="H528" s="10"/>
      <c r="I528" s="53"/>
      <c r="J528" s="54"/>
      <c r="K528" s="10"/>
      <c r="L528" s="10"/>
      <c r="M528" s="10"/>
    </row>
    <row r="529" ht="15.75" customHeight="1">
      <c r="A529" s="46"/>
      <c r="B529" s="10"/>
      <c r="C529" s="10"/>
      <c r="D529" s="10"/>
      <c r="E529" s="47"/>
      <c r="F529" s="10"/>
      <c r="G529" s="52"/>
      <c r="H529" s="10"/>
      <c r="I529" s="53"/>
      <c r="J529" s="54"/>
      <c r="K529" s="10"/>
      <c r="L529" s="10"/>
      <c r="M529" s="10"/>
    </row>
    <row r="530" ht="15.75" customHeight="1">
      <c r="A530" s="46"/>
      <c r="B530" s="10"/>
      <c r="C530" s="10"/>
      <c r="D530" s="10"/>
      <c r="E530" s="47"/>
      <c r="F530" s="10"/>
      <c r="G530" s="52"/>
      <c r="H530" s="10"/>
      <c r="I530" s="53"/>
      <c r="J530" s="54"/>
      <c r="K530" s="10"/>
      <c r="L530" s="10"/>
      <c r="M530" s="10"/>
    </row>
    <row r="531" ht="15.75" customHeight="1">
      <c r="A531" s="46"/>
      <c r="B531" s="10"/>
      <c r="C531" s="10"/>
      <c r="D531" s="10"/>
      <c r="E531" s="47"/>
      <c r="F531" s="10"/>
      <c r="G531" s="52"/>
      <c r="H531" s="10"/>
      <c r="I531" s="53"/>
      <c r="J531" s="54"/>
      <c r="K531" s="10"/>
      <c r="L531" s="10"/>
      <c r="M531" s="10"/>
    </row>
    <row r="532" ht="15.75" customHeight="1">
      <c r="A532" s="46"/>
      <c r="B532" s="10"/>
      <c r="C532" s="10"/>
      <c r="D532" s="10"/>
      <c r="E532" s="47"/>
      <c r="F532" s="10"/>
      <c r="G532" s="52"/>
      <c r="H532" s="10"/>
      <c r="I532" s="53"/>
      <c r="J532" s="54"/>
      <c r="K532" s="10"/>
      <c r="L532" s="10"/>
      <c r="M532" s="10"/>
    </row>
    <row r="533" ht="15.75" customHeight="1">
      <c r="A533" s="46"/>
      <c r="B533" s="10"/>
      <c r="C533" s="10"/>
      <c r="D533" s="10"/>
      <c r="E533" s="47"/>
      <c r="F533" s="10"/>
      <c r="G533" s="52"/>
      <c r="H533" s="10"/>
      <c r="I533" s="53"/>
      <c r="J533" s="54"/>
      <c r="K533" s="10"/>
      <c r="L533" s="10"/>
      <c r="M533" s="10"/>
    </row>
    <row r="534" ht="15.75" customHeight="1">
      <c r="A534" s="46"/>
      <c r="B534" s="10"/>
      <c r="C534" s="10"/>
      <c r="D534" s="10"/>
      <c r="E534" s="47"/>
      <c r="F534" s="10"/>
      <c r="G534" s="52"/>
      <c r="H534" s="10"/>
      <c r="I534" s="53"/>
      <c r="J534" s="54"/>
      <c r="K534" s="10"/>
      <c r="L534" s="10"/>
      <c r="M534" s="10"/>
    </row>
    <row r="535" ht="15.75" customHeight="1">
      <c r="A535" s="46"/>
      <c r="B535" s="10"/>
      <c r="C535" s="10"/>
      <c r="D535" s="10"/>
      <c r="E535" s="47"/>
      <c r="F535" s="10"/>
      <c r="G535" s="52"/>
      <c r="H535" s="10"/>
      <c r="I535" s="53"/>
      <c r="J535" s="54"/>
      <c r="K535" s="10"/>
      <c r="L535" s="10"/>
      <c r="M535" s="10"/>
    </row>
    <row r="536" ht="15.75" customHeight="1">
      <c r="A536" s="46"/>
      <c r="B536" s="10"/>
      <c r="C536" s="10"/>
      <c r="D536" s="10"/>
      <c r="E536" s="47"/>
      <c r="F536" s="10"/>
      <c r="G536" s="52"/>
      <c r="H536" s="10"/>
      <c r="I536" s="53"/>
      <c r="J536" s="54"/>
      <c r="K536" s="10"/>
      <c r="L536" s="10"/>
      <c r="M536" s="10"/>
    </row>
    <row r="537" ht="15.75" customHeight="1">
      <c r="A537" s="46"/>
      <c r="B537" s="10"/>
      <c r="C537" s="10"/>
      <c r="D537" s="10"/>
      <c r="E537" s="47"/>
      <c r="F537" s="10"/>
      <c r="G537" s="52"/>
      <c r="H537" s="10"/>
      <c r="I537" s="53"/>
      <c r="J537" s="54"/>
      <c r="K537" s="10"/>
      <c r="L537" s="10"/>
      <c r="M537" s="10"/>
    </row>
    <row r="538" ht="15.75" customHeight="1">
      <c r="A538" s="46"/>
      <c r="B538" s="10"/>
      <c r="C538" s="10"/>
      <c r="D538" s="10"/>
      <c r="E538" s="47"/>
      <c r="F538" s="10"/>
      <c r="G538" s="52"/>
      <c r="H538" s="10"/>
      <c r="I538" s="53"/>
      <c r="J538" s="54"/>
      <c r="K538" s="10"/>
      <c r="L538" s="10"/>
      <c r="M538" s="10"/>
    </row>
    <row r="539" ht="15.75" customHeight="1">
      <c r="A539" s="46"/>
      <c r="B539" s="10"/>
      <c r="C539" s="10"/>
      <c r="D539" s="10"/>
      <c r="E539" s="47"/>
      <c r="F539" s="10"/>
      <c r="G539" s="52"/>
      <c r="H539" s="10"/>
      <c r="I539" s="53"/>
      <c r="J539" s="54"/>
      <c r="K539" s="10"/>
      <c r="L539" s="10"/>
      <c r="M539" s="10"/>
    </row>
    <row r="540" ht="15.75" customHeight="1">
      <c r="A540" s="46"/>
      <c r="B540" s="10"/>
      <c r="C540" s="10"/>
      <c r="D540" s="10"/>
      <c r="E540" s="47"/>
      <c r="F540" s="10"/>
      <c r="G540" s="52"/>
      <c r="H540" s="10"/>
      <c r="I540" s="53"/>
      <c r="J540" s="54"/>
      <c r="K540" s="10"/>
      <c r="L540" s="10"/>
      <c r="M540" s="10"/>
    </row>
    <row r="541" ht="15.75" customHeight="1">
      <c r="A541" s="46"/>
      <c r="B541" s="10"/>
      <c r="C541" s="10"/>
      <c r="D541" s="10"/>
      <c r="E541" s="47"/>
      <c r="F541" s="10"/>
      <c r="G541" s="52"/>
      <c r="H541" s="10"/>
      <c r="I541" s="53"/>
      <c r="J541" s="54"/>
      <c r="K541" s="10"/>
      <c r="L541" s="10"/>
      <c r="M541" s="10"/>
    </row>
    <row r="542" ht="15.75" customHeight="1">
      <c r="A542" s="46"/>
      <c r="B542" s="10"/>
      <c r="C542" s="10"/>
      <c r="D542" s="10"/>
      <c r="E542" s="47"/>
      <c r="F542" s="10"/>
      <c r="G542" s="52"/>
      <c r="H542" s="10"/>
      <c r="I542" s="53"/>
      <c r="J542" s="54"/>
      <c r="K542" s="10"/>
      <c r="L542" s="10"/>
      <c r="M542" s="10"/>
    </row>
    <row r="543" ht="15.75" customHeight="1">
      <c r="A543" s="46"/>
      <c r="B543" s="10"/>
      <c r="C543" s="10"/>
      <c r="D543" s="10"/>
      <c r="E543" s="47"/>
      <c r="F543" s="10"/>
      <c r="G543" s="52"/>
      <c r="H543" s="10"/>
      <c r="I543" s="53"/>
      <c r="J543" s="54"/>
      <c r="K543" s="10"/>
      <c r="L543" s="10"/>
      <c r="M543" s="10"/>
    </row>
    <row r="544" ht="15.75" customHeight="1">
      <c r="A544" s="46"/>
      <c r="B544" s="10"/>
      <c r="C544" s="10"/>
      <c r="D544" s="10"/>
      <c r="E544" s="47"/>
      <c r="F544" s="10"/>
      <c r="G544" s="52"/>
      <c r="H544" s="10"/>
      <c r="I544" s="53"/>
      <c r="J544" s="54"/>
      <c r="K544" s="10"/>
      <c r="L544" s="10"/>
      <c r="M544" s="10"/>
    </row>
    <row r="545" ht="15.75" customHeight="1">
      <c r="A545" s="46"/>
      <c r="B545" s="10"/>
      <c r="C545" s="10"/>
      <c r="D545" s="10"/>
      <c r="E545" s="47"/>
      <c r="F545" s="10"/>
      <c r="G545" s="52"/>
      <c r="H545" s="10"/>
      <c r="I545" s="53"/>
      <c r="J545" s="54"/>
      <c r="K545" s="10"/>
      <c r="L545" s="10"/>
      <c r="M545" s="10"/>
    </row>
    <row r="546" ht="15.75" customHeight="1">
      <c r="A546" s="46"/>
      <c r="B546" s="10"/>
      <c r="C546" s="10"/>
      <c r="D546" s="10"/>
      <c r="E546" s="47"/>
      <c r="F546" s="10"/>
      <c r="G546" s="52"/>
      <c r="H546" s="10"/>
      <c r="I546" s="53"/>
      <c r="J546" s="54"/>
      <c r="K546" s="10"/>
      <c r="L546" s="10"/>
      <c r="M546" s="10"/>
    </row>
    <row r="547" ht="15.75" customHeight="1">
      <c r="A547" s="46"/>
      <c r="B547" s="10"/>
      <c r="C547" s="10"/>
      <c r="D547" s="10"/>
      <c r="E547" s="47"/>
      <c r="F547" s="10"/>
      <c r="G547" s="52"/>
      <c r="H547" s="10"/>
      <c r="I547" s="53"/>
      <c r="J547" s="54"/>
      <c r="K547" s="10"/>
      <c r="L547" s="10"/>
      <c r="M547" s="10"/>
    </row>
    <row r="548" ht="15.75" customHeight="1">
      <c r="A548" s="46"/>
      <c r="B548" s="10"/>
      <c r="C548" s="10"/>
      <c r="D548" s="10"/>
      <c r="E548" s="47"/>
      <c r="F548" s="10"/>
      <c r="G548" s="52"/>
      <c r="H548" s="10"/>
      <c r="I548" s="53"/>
      <c r="J548" s="54"/>
      <c r="K548" s="10"/>
      <c r="L548" s="10"/>
      <c r="M548" s="10"/>
    </row>
    <row r="549" ht="15.75" customHeight="1">
      <c r="A549" s="46"/>
      <c r="B549" s="10"/>
      <c r="C549" s="10"/>
      <c r="D549" s="10"/>
      <c r="E549" s="47"/>
      <c r="F549" s="10"/>
      <c r="G549" s="52"/>
      <c r="H549" s="10"/>
      <c r="I549" s="53"/>
      <c r="J549" s="54"/>
      <c r="K549" s="10"/>
      <c r="L549" s="10"/>
      <c r="M549" s="10"/>
    </row>
    <row r="550" ht="15.75" customHeight="1">
      <c r="A550" s="46"/>
      <c r="B550" s="10"/>
      <c r="C550" s="10"/>
      <c r="D550" s="10"/>
      <c r="E550" s="47"/>
      <c r="F550" s="10"/>
      <c r="G550" s="52"/>
      <c r="H550" s="10"/>
      <c r="I550" s="53"/>
      <c r="J550" s="54"/>
      <c r="K550" s="10"/>
      <c r="L550" s="10"/>
      <c r="M550" s="10"/>
    </row>
    <row r="551" ht="15.75" customHeight="1">
      <c r="A551" s="46"/>
      <c r="B551" s="10"/>
      <c r="C551" s="10"/>
      <c r="D551" s="10"/>
      <c r="E551" s="47"/>
      <c r="F551" s="10"/>
      <c r="G551" s="52"/>
      <c r="H551" s="10"/>
      <c r="I551" s="53"/>
      <c r="J551" s="54"/>
      <c r="K551" s="10"/>
      <c r="L551" s="10"/>
      <c r="M551" s="10"/>
    </row>
    <row r="552" ht="15.75" customHeight="1">
      <c r="A552" s="46"/>
      <c r="B552" s="10"/>
      <c r="C552" s="10"/>
      <c r="D552" s="10"/>
      <c r="E552" s="47"/>
      <c r="F552" s="10"/>
      <c r="G552" s="52"/>
      <c r="H552" s="10"/>
      <c r="I552" s="53"/>
      <c r="J552" s="54"/>
      <c r="K552" s="10"/>
      <c r="L552" s="10"/>
      <c r="M552" s="10"/>
    </row>
    <row r="553" ht="15.75" customHeight="1">
      <c r="A553" s="46"/>
      <c r="B553" s="10"/>
      <c r="C553" s="10"/>
      <c r="D553" s="10"/>
      <c r="E553" s="47"/>
      <c r="F553" s="10"/>
      <c r="G553" s="52"/>
      <c r="H553" s="10"/>
      <c r="I553" s="53"/>
      <c r="J553" s="54"/>
      <c r="K553" s="10"/>
      <c r="L553" s="10"/>
      <c r="M553" s="10"/>
    </row>
    <row r="554" ht="15.75" customHeight="1">
      <c r="A554" s="46"/>
      <c r="B554" s="10"/>
      <c r="C554" s="10"/>
      <c r="D554" s="10"/>
      <c r="E554" s="47"/>
      <c r="F554" s="10"/>
      <c r="G554" s="52"/>
      <c r="H554" s="10"/>
      <c r="I554" s="53"/>
      <c r="J554" s="54"/>
      <c r="K554" s="10"/>
      <c r="L554" s="10"/>
      <c r="M554" s="10"/>
    </row>
    <row r="555" ht="15.75" customHeight="1">
      <c r="A555" s="46"/>
      <c r="B555" s="10"/>
      <c r="C555" s="10"/>
      <c r="D555" s="10"/>
      <c r="E555" s="47"/>
      <c r="F555" s="10"/>
      <c r="G555" s="52"/>
      <c r="H555" s="10"/>
      <c r="I555" s="53"/>
      <c r="J555" s="54"/>
      <c r="K555" s="10"/>
      <c r="L555" s="10"/>
      <c r="M555" s="10"/>
    </row>
    <row r="556" ht="15.75" customHeight="1">
      <c r="A556" s="46"/>
      <c r="B556" s="10"/>
      <c r="C556" s="10"/>
      <c r="D556" s="10"/>
      <c r="E556" s="47"/>
      <c r="F556" s="10"/>
      <c r="G556" s="52"/>
      <c r="H556" s="10"/>
      <c r="I556" s="53"/>
      <c r="J556" s="54"/>
      <c r="K556" s="10"/>
      <c r="L556" s="10"/>
      <c r="M556" s="10"/>
    </row>
    <row r="557" ht="15.75" customHeight="1">
      <c r="A557" s="46"/>
      <c r="B557" s="10"/>
      <c r="C557" s="10"/>
      <c r="D557" s="10"/>
      <c r="E557" s="47"/>
      <c r="F557" s="10"/>
      <c r="G557" s="52"/>
      <c r="H557" s="10"/>
      <c r="I557" s="53"/>
      <c r="J557" s="54"/>
      <c r="K557" s="10"/>
      <c r="L557" s="10"/>
      <c r="M557" s="10"/>
    </row>
    <row r="558" ht="15.75" customHeight="1">
      <c r="A558" s="46"/>
      <c r="B558" s="10"/>
      <c r="C558" s="10"/>
      <c r="D558" s="10"/>
      <c r="E558" s="47"/>
      <c r="F558" s="10"/>
      <c r="G558" s="52"/>
      <c r="H558" s="10"/>
      <c r="I558" s="53"/>
      <c r="J558" s="54"/>
      <c r="K558" s="10"/>
      <c r="L558" s="10"/>
      <c r="M558" s="10"/>
    </row>
    <row r="559" ht="15.75" customHeight="1">
      <c r="A559" s="46"/>
      <c r="B559" s="10"/>
      <c r="C559" s="10"/>
      <c r="D559" s="10"/>
      <c r="E559" s="47"/>
      <c r="F559" s="10"/>
      <c r="G559" s="52"/>
      <c r="H559" s="10"/>
      <c r="I559" s="53"/>
      <c r="J559" s="54"/>
      <c r="K559" s="10"/>
      <c r="L559" s="10"/>
      <c r="M559" s="10"/>
    </row>
    <row r="560" ht="15.75" customHeight="1">
      <c r="A560" s="46"/>
      <c r="B560" s="10"/>
      <c r="C560" s="10"/>
      <c r="D560" s="10"/>
      <c r="E560" s="47"/>
      <c r="F560" s="10"/>
      <c r="G560" s="52"/>
      <c r="H560" s="10"/>
      <c r="I560" s="53"/>
      <c r="J560" s="54"/>
      <c r="K560" s="10"/>
      <c r="L560" s="10"/>
      <c r="M560" s="10"/>
    </row>
    <row r="561" ht="15.75" customHeight="1">
      <c r="A561" s="46"/>
      <c r="B561" s="10"/>
      <c r="C561" s="10"/>
      <c r="D561" s="10"/>
      <c r="E561" s="47"/>
      <c r="F561" s="10"/>
      <c r="G561" s="52"/>
      <c r="H561" s="10"/>
      <c r="I561" s="53"/>
      <c r="J561" s="54"/>
      <c r="K561" s="10"/>
      <c r="L561" s="10"/>
      <c r="M561" s="10"/>
    </row>
    <row r="562" ht="15.75" customHeight="1">
      <c r="A562" s="46"/>
      <c r="B562" s="10"/>
      <c r="C562" s="10"/>
      <c r="D562" s="10"/>
      <c r="E562" s="47"/>
      <c r="F562" s="10"/>
      <c r="G562" s="52"/>
      <c r="H562" s="10"/>
      <c r="I562" s="53"/>
      <c r="J562" s="54"/>
      <c r="K562" s="10"/>
      <c r="L562" s="10"/>
      <c r="M562" s="10"/>
    </row>
    <row r="563" ht="15.75" customHeight="1">
      <c r="A563" s="46"/>
      <c r="B563" s="10"/>
      <c r="C563" s="10"/>
      <c r="D563" s="10"/>
      <c r="E563" s="47"/>
      <c r="F563" s="10"/>
      <c r="G563" s="52"/>
      <c r="H563" s="10"/>
      <c r="I563" s="53"/>
      <c r="J563" s="54"/>
      <c r="K563" s="10"/>
      <c r="L563" s="10"/>
      <c r="M563" s="10"/>
    </row>
    <row r="564" ht="15.75" customHeight="1">
      <c r="A564" s="46"/>
      <c r="B564" s="10"/>
      <c r="C564" s="10"/>
      <c r="D564" s="10"/>
      <c r="E564" s="47"/>
      <c r="F564" s="10"/>
      <c r="G564" s="52"/>
      <c r="H564" s="10"/>
      <c r="I564" s="53"/>
      <c r="J564" s="54"/>
      <c r="K564" s="10"/>
      <c r="L564" s="10"/>
      <c r="M564" s="10"/>
    </row>
    <row r="565" ht="15.75" customHeight="1">
      <c r="A565" s="46"/>
      <c r="B565" s="10"/>
      <c r="C565" s="10"/>
      <c r="D565" s="10"/>
      <c r="E565" s="47"/>
      <c r="F565" s="10"/>
      <c r="G565" s="52"/>
      <c r="H565" s="10"/>
      <c r="I565" s="53"/>
      <c r="J565" s="54"/>
      <c r="K565" s="10"/>
      <c r="L565" s="10"/>
      <c r="M565" s="10"/>
    </row>
    <row r="566" ht="15.75" customHeight="1">
      <c r="A566" s="46"/>
      <c r="B566" s="10"/>
      <c r="C566" s="10"/>
      <c r="D566" s="10"/>
      <c r="E566" s="47"/>
      <c r="F566" s="10"/>
      <c r="G566" s="52"/>
      <c r="H566" s="10"/>
      <c r="I566" s="53"/>
      <c r="J566" s="54"/>
      <c r="K566" s="10"/>
      <c r="L566" s="10"/>
      <c r="M566" s="10"/>
    </row>
    <row r="567" ht="15.75" customHeight="1">
      <c r="A567" s="46"/>
      <c r="B567" s="10"/>
      <c r="C567" s="10"/>
      <c r="D567" s="10"/>
      <c r="E567" s="47"/>
      <c r="F567" s="10"/>
      <c r="G567" s="52"/>
      <c r="H567" s="10"/>
      <c r="I567" s="53"/>
      <c r="J567" s="54"/>
      <c r="K567" s="10"/>
      <c r="L567" s="10"/>
      <c r="M567" s="10"/>
    </row>
    <row r="568" ht="15.75" customHeight="1">
      <c r="A568" s="46"/>
      <c r="B568" s="10"/>
      <c r="C568" s="10"/>
      <c r="D568" s="10"/>
      <c r="E568" s="47"/>
      <c r="F568" s="10"/>
      <c r="G568" s="52"/>
      <c r="H568" s="10"/>
      <c r="I568" s="53"/>
      <c r="J568" s="54"/>
      <c r="K568" s="10"/>
      <c r="L568" s="10"/>
      <c r="M568" s="10"/>
    </row>
    <row r="569" ht="15.75" customHeight="1">
      <c r="A569" s="46"/>
      <c r="B569" s="10"/>
      <c r="C569" s="10"/>
      <c r="D569" s="10"/>
      <c r="E569" s="47"/>
      <c r="F569" s="10"/>
      <c r="G569" s="52"/>
      <c r="H569" s="10"/>
      <c r="I569" s="53"/>
      <c r="J569" s="54"/>
      <c r="K569" s="10"/>
      <c r="L569" s="10"/>
      <c r="M569" s="10"/>
    </row>
    <row r="570" ht="15.75" customHeight="1">
      <c r="A570" s="46"/>
      <c r="B570" s="10"/>
      <c r="C570" s="10"/>
      <c r="D570" s="10"/>
      <c r="E570" s="47"/>
      <c r="F570" s="10"/>
      <c r="G570" s="52"/>
      <c r="H570" s="10"/>
      <c r="I570" s="53"/>
      <c r="J570" s="54"/>
      <c r="K570" s="10"/>
      <c r="L570" s="10"/>
      <c r="M570" s="10"/>
    </row>
    <row r="571" ht="15.75" customHeight="1">
      <c r="A571" s="46"/>
      <c r="B571" s="10"/>
      <c r="C571" s="10"/>
      <c r="D571" s="10"/>
      <c r="E571" s="47"/>
      <c r="F571" s="10"/>
      <c r="G571" s="52"/>
      <c r="H571" s="10"/>
      <c r="I571" s="53"/>
      <c r="J571" s="54"/>
      <c r="K571" s="10"/>
      <c r="L571" s="10"/>
      <c r="M571" s="10"/>
    </row>
    <row r="572" ht="15.75" customHeight="1">
      <c r="A572" s="46"/>
      <c r="B572" s="10"/>
      <c r="C572" s="10"/>
      <c r="D572" s="10"/>
      <c r="E572" s="47"/>
      <c r="F572" s="10"/>
      <c r="G572" s="52"/>
      <c r="H572" s="10"/>
      <c r="I572" s="53"/>
      <c r="J572" s="54"/>
      <c r="K572" s="10"/>
      <c r="L572" s="10"/>
      <c r="M572" s="10"/>
    </row>
    <row r="573" ht="15.75" customHeight="1">
      <c r="A573" s="46"/>
      <c r="B573" s="10"/>
      <c r="C573" s="10"/>
      <c r="D573" s="10"/>
      <c r="E573" s="47"/>
      <c r="F573" s="10"/>
      <c r="G573" s="52"/>
      <c r="H573" s="10"/>
      <c r="I573" s="53"/>
      <c r="J573" s="54"/>
      <c r="K573" s="10"/>
      <c r="L573" s="10"/>
      <c r="M573" s="10"/>
    </row>
    <row r="574" ht="15.75" customHeight="1">
      <c r="A574" s="46"/>
      <c r="B574" s="10"/>
      <c r="C574" s="10"/>
      <c r="D574" s="10"/>
      <c r="E574" s="47"/>
      <c r="F574" s="10"/>
      <c r="G574" s="52"/>
      <c r="H574" s="10"/>
      <c r="I574" s="53"/>
      <c r="J574" s="54"/>
      <c r="K574" s="10"/>
      <c r="L574" s="10"/>
      <c r="M574" s="10"/>
    </row>
    <row r="575" ht="15.75" customHeight="1">
      <c r="A575" s="46"/>
      <c r="B575" s="10"/>
      <c r="C575" s="10"/>
      <c r="D575" s="10"/>
      <c r="E575" s="47"/>
      <c r="F575" s="10"/>
      <c r="G575" s="52"/>
      <c r="H575" s="10"/>
      <c r="I575" s="53"/>
      <c r="J575" s="54"/>
      <c r="K575" s="10"/>
      <c r="L575" s="10"/>
      <c r="M575" s="10"/>
    </row>
    <row r="576" ht="15.75" customHeight="1">
      <c r="A576" s="46"/>
      <c r="B576" s="10"/>
      <c r="C576" s="10"/>
      <c r="D576" s="10"/>
      <c r="E576" s="47"/>
      <c r="F576" s="10"/>
      <c r="G576" s="52"/>
      <c r="H576" s="10"/>
      <c r="I576" s="53"/>
      <c r="J576" s="54"/>
      <c r="K576" s="10"/>
      <c r="L576" s="10"/>
      <c r="M576" s="10"/>
    </row>
    <row r="577" ht="15.75" customHeight="1">
      <c r="A577" s="46"/>
      <c r="B577" s="10"/>
      <c r="C577" s="10"/>
      <c r="D577" s="10"/>
      <c r="E577" s="47"/>
      <c r="F577" s="10"/>
      <c r="G577" s="52"/>
      <c r="H577" s="10"/>
      <c r="I577" s="53"/>
      <c r="J577" s="54"/>
      <c r="K577" s="10"/>
      <c r="L577" s="10"/>
      <c r="M577" s="10"/>
    </row>
    <row r="578" ht="15.75" customHeight="1">
      <c r="A578" s="46"/>
      <c r="B578" s="10"/>
      <c r="C578" s="10"/>
      <c r="D578" s="10"/>
      <c r="E578" s="47"/>
      <c r="F578" s="10"/>
      <c r="G578" s="52"/>
      <c r="H578" s="10"/>
      <c r="I578" s="53"/>
      <c r="J578" s="54"/>
      <c r="K578" s="10"/>
      <c r="L578" s="10"/>
      <c r="M578" s="10"/>
    </row>
    <row r="579" ht="15.75" customHeight="1">
      <c r="A579" s="46"/>
      <c r="B579" s="10"/>
      <c r="C579" s="10"/>
      <c r="D579" s="10"/>
      <c r="E579" s="47"/>
      <c r="F579" s="10"/>
      <c r="G579" s="52"/>
      <c r="H579" s="10"/>
      <c r="I579" s="53"/>
      <c r="J579" s="54"/>
      <c r="K579" s="10"/>
      <c r="L579" s="10"/>
      <c r="M579" s="10"/>
    </row>
    <row r="580" ht="15.75" customHeight="1">
      <c r="A580" s="46"/>
      <c r="B580" s="10"/>
      <c r="C580" s="10"/>
      <c r="D580" s="10"/>
      <c r="E580" s="47"/>
      <c r="F580" s="10"/>
      <c r="G580" s="52"/>
      <c r="H580" s="10"/>
      <c r="I580" s="53"/>
      <c r="J580" s="54"/>
      <c r="K580" s="10"/>
      <c r="L580" s="10"/>
      <c r="M580" s="10"/>
    </row>
    <row r="581" ht="15.75" customHeight="1">
      <c r="A581" s="46"/>
      <c r="B581" s="10"/>
      <c r="C581" s="10"/>
      <c r="D581" s="10"/>
      <c r="E581" s="47"/>
      <c r="F581" s="10"/>
      <c r="G581" s="52"/>
      <c r="H581" s="10"/>
      <c r="I581" s="53"/>
      <c r="J581" s="54"/>
      <c r="K581" s="10"/>
      <c r="L581" s="10"/>
      <c r="M581" s="10"/>
    </row>
    <row r="582" ht="15.75" customHeight="1">
      <c r="A582" s="46"/>
      <c r="B582" s="10"/>
      <c r="C582" s="10"/>
      <c r="D582" s="10"/>
      <c r="E582" s="47"/>
      <c r="F582" s="10"/>
      <c r="G582" s="52"/>
      <c r="H582" s="10"/>
      <c r="I582" s="53"/>
      <c r="J582" s="54"/>
      <c r="K582" s="10"/>
      <c r="L582" s="10"/>
      <c r="M582" s="10"/>
    </row>
    <row r="583" ht="15.75" customHeight="1">
      <c r="A583" s="46"/>
      <c r="B583" s="10"/>
      <c r="C583" s="10"/>
      <c r="D583" s="10"/>
      <c r="E583" s="47"/>
      <c r="F583" s="10"/>
      <c r="G583" s="52"/>
      <c r="H583" s="10"/>
      <c r="I583" s="53"/>
      <c r="J583" s="54"/>
      <c r="K583" s="10"/>
      <c r="L583" s="10"/>
      <c r="M583" s="10"/>
    </row>
    <row r="584" ht="15.75" customHeight="1">
      <c r="A584" s="46"/>
      <c r="B584" s="10"/>
      <c r="C584" s="10"/>
      <c r="D584" s="10"/>
      <c r="E584" s="47"/>
      <c r="F584" s="10"/>
      <c r="G584" s="52"/>
      <c r="H584" s="10"/>
      <c r="I584" s="53"/>
      <c r="J584" s="54"/>
      <c r="K584" s="10"/>
      <c r="L584" s="10"/>
      <c r="M584" s="10"/>
    </row>
    <row r="585" ht="15.75" customHeight="1">
      <c r="A585" s="46"/>
      <c r="B585" s="10"/>
      <c r="C585" s="10"/>
      <c r="D585" s="10"/>
      <c r="E585" s="47"/>
      <c r="F585" s="10"/>
      <c r="G585" s="52"/>
      <c r="H585" s="10"/>
      <c r="I585" s="53"/>
      <c r="J585" s="54"/>
      <c r="K585" s="10"/>
      <c r="L585" s="10"/>
      <c r="M585" s="10"/>
    </row>
    <row r="586" ht="15.75" customHeight="1">
      <c r="A586" s="46"/>
      <c r="B586" s="10"/>
      <c r="C586" s="10"/>
      <c r="D586" s="10"/>
      <c r="E586" s="47"/>
      <c r="F586" s="10"/>
      <c r="G586" s="52"/>
      <c r="H586" s="10"/>
      <c r="I586" s="53"/>
      <c r="J586" s="54"/>
      <c r="K586" s="10"/>
      <c r="L586" s="10"/>
      <c r="M586" s="10"/>
    </row>
    <row r="587" ht="15.75" customHeight="1">
      <c r="A587" s="46"/>
      <c r="B587" s="10"/>
      <c r="C587" s="10"/>
      <c r="D587" s="10"/>
      <c r="E587" s="47"/>
      <c r="F587" s="10"/>
      <c r="G587" s="52"/>
      <c r="H587" s="10"/>
      <c r="I587" s="53"/>
      <c r="J587" s="54"/>
      <c r="K587" s="10"/>
      <c r="L587" s="10"/>
      <c r="M587" s="10"/>
    </row>
    <row r="588" ht="15.75" customHeight="1">
      <c r="A588" s="46"/>
      <c r="B588" s="10"/>
      <c r="C588" s="10"/>
      <c r="D588" s="10"/>
      <c r="E588" s="47"/>
      <c r="F588" s="10"/>
      <c r="G588" s="52"/>
      <c r="H588" s="10"/>
      <c r="I588" s="53"/>
      <c r="J588" s="54"/>
      <c r="K588" s="10"/>
      <c r="L588" s="10"/>
      <c r="M588" s="10"/>
    </row>
    <row r="589" ht="15.75" customHeight="1">
      <c r="A589" s="46"/>
      <c r="B589" s="10"/>
      <c r="C589" s="10"/>
      <c r="D589" s="10"/>
      <c r="E589" s="47"/>
      <c r="F589" s="10"/>
      <c r="G589" s="52"/>
      <c r="H589" s="10"/>
      <c r="I589" s="53"/>
      <c r="J589" s="54"/>
      <c r="K589" s="10"/>
      <c r="L589" s="10"/>
      <c r="M589" s="10"/>
    </row>
    <row r="590" ht="15.75" customHeight="1">
      <c r="A590" s="46"/>
      <c r="B590" s="10"/>
      <c r="C590" s="10"/>
      <c r="D590" s="10"/>
      <c r="E590" s="47"/>
      <c r="F590" s="10"/>
      <c r="G590" s="52"/>
      <c r="H590" s="10"/>
      <c r="I590" s="53"/>
      <c r="J590" s="54"/>
      <c r="K590" s="10"/>
      <c r="L590" s="10"/>
      <c r="M590" s="10"/>
    </row>
    <row r="591" ht="15.75" customHeight="1">
      <c r="A591" s="46"/>
      <c r="B591" s="10"/>
      <c r="C591" s="10"/>
      <c r="D591" s="10"/>
      <c r="E591" s="47"/>
      <c r="F591" s="10"/>
      <c r="G591" s="52"/>
      <c r="H591" s="10"/>
      <c r="I591" s="53"/>
      <c r="J591" s="54"/>
      <c r="K591" s="10"/>
      <c r="L591" s="10"/>
      <c r="M591" s="10"/>
    </row>
    <row r="592" ht="15.75" customHeight="1">
      <c r="A592" s="46"/>
      <c r="B592" s="10"/>
      <c r="C592" s="10"/>
      <c r="D592" s="10"/>
      <c r="E592" s="47"/>
      <c r="F592" s="10"/>
      <c r="G592" s="52"/>
      <c r="H592" s="10"/>
      <c r="I592" s="53"/>
      <c r="J592" s="54"/>
      <c r="K592" s="10"/>
      <c r="L592" s="10"/>
      <c r="M592" s="10"/>
    </row>
    <row r="593" ht="15.75" customHeight="1">
      <c r="A593" s="46"/>
      <c r="B593" s="10"/>
      <c r="C593" s="10"/>
      <c r="D593" s="10"/>
      <c r="E593" s="47"/>
      <c r="F593" s="10"/>
      <c r="G593" s="52"/>
      <c r="H593" s="10"/>
      <c r="I593" s="53"/>
      <c r="J593" s="54"/>
      <c r="K593" s="10"/>
      <c r="L593" s="10"/>
      <c r="M593" s="10"/>
    </row>
    <row r="594" ht="15.75" customHeight="1">
      <c r="A594" s="46"/>
      <c r="B594" s="10"/>
      <c r="C594" s="10"/>
      <c r="D594" s="10"/>
      <c r="E594" s="47"/>
      <c r="F594" s="10"/>
      <c r="G594" s="52"/>
      <c r="H594" s="10"/>
      <c r="I594" s="53"/>
      <c r="J594" s="54"/>
      <c r="K594" s="10"/>
      <c r="L594" s="10"/>
      <c r="M594" s="10"/>
    </row>
    <row r="595" ht="15.75" customHeight="1">
      <c r="A595" s="46"/>
      <c r="B595" s="10"/>
      <c r="C595" s="10"/>
      <c r="D595" s="10"/>
      <c r="E595" s="47"/>
      <c r="F595" s="10"/>
      <c r="G595" s="52"/>
      <c r="H595" s="10"/>
      <c r="I595" s="53"/>
      <c r="J595" s="54"/>
      <c r="K595" s="10"/>
      <c r="L595" s="10"/>
      <c r="M595" s="10"/>
    </row>
    <row r="596" ht="15.75" customHeight="1">
      <c r="A596" s="46"/>
      <c r="B596" s="10"/>
      <c r="C596" s="10"/>
      <c r="D596" s="10"/>
      <c r="E596" s="47"/>
      <c r="F596" s="10"/>
      <c r="G596" s="52"/>
      <c r="H596" s="10"/>
      <c r="I596" s="53"/>
      <c r="J596" s="54"/>
      <c r="K596" s="10"/>
      <c r="L596" s="10"/>
      <c r="M596" s="10"/>
    </row>
    <row r="597" ht="15.75" customHeight="1">
      <c r="A597" s="46"/>
      <c r="B597" s="10"/>
      <c r="C597" s="10"/>
      <c r="D597" s="10"/>
      <c r="E597" s="47"/>
      <c r="F597" s="10"/>
      <c r="G597" s="52"/>
      <c r="H597" s="10"/>
      <c r="I597" s="53"/>
      <c r="J597" s="54"/>
      <c r="K597" s="10"/>
      <c r="L597" s="10"/>
      <c r="M597" s="10"/>
    </row>
    <row r="598" ht="15.75" customHeight="1">
      <c r="A598" s="46"/>
      <c r="B598" s="10"/>
      <c r="C598" s="10"/>
      <c r="D598" s="10"/>
      <c r="E598" s="47"/>
      <c r="F598" s="10"/>
      <c r="G598" s="52"/>
      <c r="H598" s="10"/>
      <c r="I598" s="53"/>
      <c r="J598" s="54"/>
      <c r="K598" s="10"/>
      <c r="L598" s="10"/>
      <c r="M598" s="10"/>
    </row>
    <row r="599" ht="15.75" customHeight="1">
      <c r="A599" s="46"/>
      <c r="B599" s="10"/>
      <c r="C599" s="10"/>
      <c r="D599" s="10"/>
      <c r="E599" s="47"/>
      <c r="F599" s="10"/>
      <c r="G599" s="52"/>
      <c r="H599" s="10"/>
      <c r="I599" s="53"/>
      <c r="J599" s="54"/>
      <c r="K599" s="10"/>
      <c r="L599" s="10"/>
      <c r="M599" s="10"/>
    </row>
    <row r="600" ht="15.75" customHeight="1">
      <c r="A600" s="46"/>
      <c r="B600" s="10"/>
      <c r="C600" s="10"/>
      <c r="D600" s="10"/>
      <c r="E600" s="47"/>
      <c r="F600" s="10"/>
      <c r="G600" s="52"/>
      <c r="H600" s="10"/>
      <c r="I600" s="53"/>
      <c r="J600" s="54"/>
      <c r="K600" s="10"/>
      <c r="L600" s="10"/>
      <c r="M600" s="10"/>
    </row>
    <row r="601" ht="15.75" customHeight="1">
      <c r="A601" s="46"/>
      <c r="B601" s="10"/>
      <c r="C601" s="10"/>
      <c r="D601" s="10"/>
      <c r="E601" s="47"/>
      <c r="F601" s="10"/>
      <c r="G601" s="52"/>
      <c r="H601" s="10"/>
      <c r="I601" s="53"/>
      <c r="J601" s="54"/>
      <c r="K601" s="10"/>
      <c r="L601" s="10"/>
      <c r="M601" s="10"/>
    </row>
    <row r="602" ht="15.75" customHeight="1">
      <c r="A602" s="46"/>
      <c r="B602" s="10"/>
      <c r="C602" s="10"/>
      <c r="D602" s="10"/>
      <c r="E602" s="47"/>
      <c r="F602" s="10"/>
      <c r="G602" s="52"/>
      <c r="H602" s="10"/>
      <c r="I602" s="53"/>
      <c r="J602" s="54"/>
      <c r="K602" s="10"/>
      <c r="L602" s="10"/>
      <c r="M602" s="10"/>
    </row>
    <row r="603" ht="15.75" customHeight="1">
      <c r="A603" s="46"/>
      <c r="B603" s="10"/>
      <c r="C603" s="10"/>
      <c r="D603" s="10"/>
      <c r="E603" s="47"/>
      <c r="F603" s="10"/>
      <c r="G603" s="52"/>
      <c r="H603" s="10"/>
      <c r="I603" s="53"/>
      <c r="J603" s="54"/>
      <c r="K603" s="10"/>
      <c r="L603" s="10"/>
      <c r="M603" s="10"/>
    </row>
    <row r="604" ht="15.75" customHeight="1">
      <c r="A604" s="46"/>
      <c r="B604" s="10"/>
      <c r="C604" s="10"/>
      <c r="D604" s="10"/>
      <c r="E604" s="47"/>
      <c r="F604" s="10"/>
      <c r="G604" s="52"/>
      <c r="H604" s="10"/>
      <c r="I604" s="53"/>
      <c r="J604" s="54"/>
      <c r="K604" s="10"/>
      <c r="L604" s="10"/>
      <c r="M604" s="10"/>
    </row>
    <row r="605" ht="15.75" customHeight="1">
      <c r="A605" s="46"/>
      <c r="B605" s="10"/>
      <c r="C605" s="10"/>
      <c r="D605" s="10"/>
      <c r="E605" s="47"/>
      <c r="F605" s="10"/>
      <c r="G605" s="52"/>
      <c r="H605" s="10"/>
      <c r="I605" s="53"/>
      <c r="J605" s="54"/>
      <c r="K605" s="10"/>
      <c r="L605" s="10"/>
      <c r="M605" s="10"/>
    </row>
    <row r="606" ht="15.75" customHeight="1">
      <c r="A606" s="46"/>
      <c r="B606" s="10"/>
      <c r="C606" s="10"/>
      <c r="D606" s="10"/>
      <c r="E606" s="47"/>
      <c r="F606" s="10"/>
      <c r="G606" s="52"/>
      <c r="H606" s="10"/>
      <c r="I606" s="53"/>
      <c r="J606" s="54"/>
      <c r="K606" s="10"/>
      <c r="L606" s="10"/>
      <c r="M606" s="10"/>
    </row>
    <row r="607" ht="15.75" customHeight="1">
      <c r="A607" s="46"/>
      <c r="B607" s="10"/>
      <c r="C607" s="10"/>
      <c r="D607" s="10"/>
      <c r="E607" s="47"/>
      <c r="F607" s="10"/>
      <c r="G607" s="52"/>
      <c r="H607" s="10"/>
      <c r="I607" s="53"/>
      <c r="J607" s="54"/>
      <c r="K607" s="10"/>
      <c r="L607" s="10"/>
      <c r="M607" s="10"/>
    </row>
    <row r="608" ht="15.75" customHeight="1">
      <c r="A608" s="46"/>
      <c r="B608" s="10"/>
      <c r="C608" s="10"/>
      <c r="D608" s="10"/>
      <c r="E608" s="47"/>
      <c r="F608" s="10"/>
      <c r="G608" s="52"/>
      <c r="H608" s="10"/>
      <c r="I608" s="53"/>
      <c r="J608" s="54"/>
      <c r="K608" s="10"/>
      <c r="L608" s="10"/>
      <c r="M608" s="10"/>
    </row>
    <row r="609" ht="15.75" customHeight="1">
      <c r="A609" s="46"/>
      <c r="B609" s="10"/>
      <c r="C609" s="10"/>
      <c r="D609" s="10"/>
      <c r="E609" s="47"/>
      <c r="F609" s="10"/>
      <c r="G609" s="52"/>
      <c r="H609" s="10"/>
      <c r="I609" s="53"/>
      <c r="J609" s="54"/>
      <c r="K609" s="10"/>
      <c r="L609" s="10"/>
      <c r="M609" s="10"/>
    </row>
    <row r="610" ht="15.75" customHeight="1">
      <c r="A610" s="46"/>
      <c r="B610" s="10"/>
      <c r="C610" s="10"/>
      <c r="D610" s="10"/>
      <c r="E610" s="47"/>
      <c r="F610" s="10"/>
      <c r="G610" s="52"/>
      <c r="H610" s="10"/>
      <c r="I610" s="53"/>
      <c r="J610" s="54"/>
      <c r="K610" s="10"/>
      <c r="L610" s="10"/>
      <c r="M610" s="10"/>
    </row>
    <row r="611" ht="15.75" customHeight="1">
      <c r="A611" s="46"/>
      <c r="B611" s="10"/>
      <c r="C611" s="10"/>
      <c r="D611" s="10"/>
      <c r="E611" s="47"/>
      <c r="F611" s="10"/>
      <c r="G611" s="52"/>
      <c r="H611" s="10"/>
      <c r="I611" s="53"/>
      <c r="J611" s="54"/>
      <c r="K611" s="10"/>
      <c r="L611" s="10"/>
      <c r="M611" s="10"/>
    </row>
    <row r="612" ht="15.75" customHeight="1">
      <c r="A612" s="46"/>
      <c r="B612" s="10"/>
      <c r="C612" s="10"/>
      <c r="D612" s="10"/>
      <c r="E612" s="47"/>
      <c r="F612" s="10"/>
      <c r="G612" s="52"/>
      <c r="H612" s="10"/>
      <c r="I612" s="53"/>
      <c r="J612" s="54"/>
      <c r="K612" s="10"/>
      <c r="L612" s="10"/>
      <c r="M612" s="10"/>
    </row>
    <row r="613" ht="15.75" customHeight="1">
      <c r="A613" s="46"/>
      <c r="B613" s="10"/>
      <c r="C613" s="10"/>
      <c r="D613" s="10"/>
      <c r="E613" s="47"/>
      <c r="F613" s="10"/>
      <c r="G613" s="52"/>
      <c r="H613" s="10"/>
      <c r="I613" s="53"/>
      <c r="J613" s="54"/>
      <c r="K613" s="10"/>
      <c r="L613" s="10"/>
      <c r="M613" s="10"/>
    </row>
    <row r="614" ht="15.75" customHeight="1">
      <c r="A614" s="46"/>
      <c r="B614" s="10"/>
      <c r="C614" s="10"/>
      <c r="D614" s="10"/>
      <c r="E614" s="47"/>
      <c r="F614" s="10"/>
      <c r="G614" s="52"/>
      <c r="H614" s="10"/>
      <c r="I614" s="53"/>
      <c r="J614" s="54"/>
      <c r="K614" s="10"/>
      <c r="L614" s="10"/>
      <c r="M614" s="10"/>
    </row>
    <row r="615" ht="15.75" customHeight="1">
      <c r="A615" s="46"/>
      <c r="B615" s="10"/>
      <c r="C615" s="10"/>
      <c r="D615" s="10"/>
      <c r="E615" s="47"/>
      <c r="F615" s="10"/>
      <c r="G615" s="52"/>
      <c r="H615" s="10"/>
      <c r="I615" s="53"/>
      <c r="J615" s="54"/>
      <c r="K615" s="10"/>
      <c r="L615" s="10"/>
      <c r="M615" s="10"/>
    </row>
    <row r="616" ht="15.75" customHeight="1">
      <c r="A616" s="46"/>
      <c r="B616" s="10"/>
      <c r="C616" s="10"/>
      <c r="D616" s="10"/>
      <c r="E616" s="47"/>
      <c r="F616" s="10"/>
      <c r="G616" s="52"/>
      <c r="H616" s="10"/>
      <c r="I616" s="53"/>
      <c r="J616" s="54"/>
      <c r="K616" s="10"/>
      <c r="L616" s="10"/>
      <c r="M616" s="10"/>
    </row>
    <row r="617" ht="15.75" customHeight="1">
      <c r="A617" s="46"/>
      <c r="B617" s="10"/>
      <c r="C617" s="10"/>
      <c r="D617" s="10"/>
      <c r="E617" s="47"/>
      <c r="F617" s="10"/>
      <c r="G617" s="52"/>
      <c r="H617" s="10"/>
      <c r="I617" s="53"/>
      <c r="J617" s="54"/>
      <c r="K617" s="10"/>
      <c r="L617" s="10"/>
      <c r="M617" s="10"/>
    </row>
    <row r="618" ht="15.75" customHeight="1">
      <c r="A618" s="46"/>
      <c r="B618" s="10"/>
      <c r="C618" s="10"/>
      <c r="D618" s="10"/>
      <c r="E618" s="47"/>
      <c r="F618" s="10"/>
      <c r="G618" s="52"/>
      <c r="H618" s="10"/>
      <c r="I618" s="53"/>
      <c r="J618" s="54"/>
      <c r="K618" s="10"/>
      <c r="L618" s="10"/>
      <c r="M618" s="10"/>
    </row>
    <row r="619" ht="15.75" customHeight="1">
      <c r="A619" s="46"/>
      <c r="B619" s="10"/>
      <c r="C619" s="10"/>
      <c r="D619" s="10"/>
      <c r="E619" s="47"/>
      <c r="F619" s="10"/>
      <c r="G619" s="52"/>
      <c r="H619" s="10"/>
      <c r="I619" s="53"/>
      <c r="J619" s="54"/>
      <c r="K619" s="10"/>
      <c r="L619" s="10"/>
      <c r="M619" s="10"/>
    </row>
    <row r="620" ht="15.75" customHeight="1">
      <c r="A620" s="46"/>
      <c r="B620" s="10"/>
      <c r="C620" s="10"/>
      <c r="D620" s="10"/>
      <c r="E620" s="47"/>
      <c r="F620" s="10"/>
      <c r="G620" s="52"/>
      <c r="H620" s="10"/>
      <c r="I620" s="53"/>
      <c r="J620" s="54"/>
      <c r="K620" s="10"/>
      <c r="L620" s="10"/>
      <c r="M620" s="10"/>
    </row>
    <row r="621" ht="15.75" customHeight="1">
      <c r="A621" s="46"/>
      <c r="B621" s="10"/>
      <c r="C621" s="10"/>
      <c r="D621" s="10"/>
      <c r="E621" s="47"/>
      <c r="F621" s="10"/>
      <c r="G621" s="52"/>
      <c r="H621" s="10"/>
      <c r="I621" s="53"/>
      <c r="J621" s="54"/>
      <c r="K621" s="10"/>
      <c r="L621" s="10"/>
      <c r="M621" s="10"/>
    </row>
    <row r="622" ht="15.75" customHeight="1">
      <c r="A622" s="46"/>
      <c r="B622" s="10"/>
      <c r="C622" s="10"/>
      <c r="D622" s="10"/>
      <c r="E622" s="47"/>
      <c r="F622" s="10"/>
      <c r="G622" s="52"/>
      <c r="H622" s="10"/>
      <c r="I622" s="53"/>
      <c r="J622" s="54"/>
      <c r="K622" s="10"/>
      <c r="L622" s="10"/>
      <c r="M622" s="10"/>
    </row>
    <row r="623" ht="15.75" customHeight="1">
      <c r="A623" s="46"/>
      <c r="B623" s="10"/>
      <c r="C623" s="10"/>
      <c r="D623" s="10"/>
      <c r="E623" s="47"/>
      <c r="F623" s="10"/>
      <c r="G623" s="52"/>
      <c r="H623" s="10"/>
      <c r="I623" s="53"/>
      <c r="J623" s="54"/>
      <c r="K623" s="10"/>
      <c r="L623" s="10"/>
      <c r="M623" s="10"/>
    </row>
    <row r="624" ht="15.75" customHeight="1">
      <c r="A624" s="46"/>
      <c r="B624" s="10"/>
      <c r="C624" s="10"/>
      <c r="D624" s="10"/>
      <c r="E624" s="47"/>
      <c r="F624" s="10"/>
      <c r="G624" s="52"/>
      <c r="H624" s="10"/>
      <c r="I624" s="53"/>
      <c r="J624" s="54"/>
      <c r="K624" s="10"/>
      <c r="L624" s="10"/>
      <c r="M624" s="10"/>
    </row>
    <row r="625" ht="15.75" customHeight="1">
      <c r="A625" s="46"/>
      <c r="B625" s="10"/>
      <c r="C625" s="10"/>
      <c r="D625" s="10"/>
      <c r="E625" s="47"/>
      <c r="F625" s="10"/>
      <c r="G625" s="52"/>
      <c r="H625" s="10"/>
      <c r="I625" s="53"/>
      <c r="J625" s="54"/>
      <c r="K625" s="10"/>
      <c r="L625" s="10"/>
      <c r="M625" s="10"/>
    </row>
    <row r="626" ht="15.75" customHeight="1">
      <c r="A626" s="46"/>
      <c r="B626" s="10"/>
      <c r="C626" s="10"/>
      <c r="D626" s="10"/>
      <c r="E626" s="47"/>
      <c r="F626" s="10"/>
      <c r="G626" s="52"/>
      <c r="H626" s="10"/>
      <c r="I626" s="53"/>
      <c r="J626" s="54"/>
      <c r="K626" s="10"/>
      <c r="L626" s="10"/>
      <c r="M626" s="10"/>
    </row>
    <row r="627" ht="15.75" customHeight="1">
      <c r="A627" s="46"/>
      <c r="B627" s="10"/>
      <c r="C627" s="10"/>
      <c r="D627" s="10"/>
      <c r="E627" s="47"/>
      <c r="F627" s="10"/>
      <c r="G627" s="52"/>
      <c r="H627" s="10"/>
      <c r="I627" s="53"/>
      <c r="J627" s="54"/>
      <c r="K627" s="10"/>
      <c r="L627" s="10"/>
      <c r="M627" s="10"/>
    </row>
    <row r="628" ht="15.75" customHeight="1">
      <c r="A628" s="46"/>
      <c r="B628" s="10"/>
      <c r="C628" s="10"/>
      <c r="D628" s="10"/>
      <c r="E628" s="47"/>
      <c r="F628" s="10"/>
      <c r="G628" s="52"/>
      <c r="H628" s="10"/>
      <c r="I628" s="53"/>
      <c r="J628" s="54"/>
      <c r="K628" s="10"/>
      <c r="L628" s="10"/>
      <c r="M628" s="10"/>
    </row>
    <row r="629" ht="15.75" customHeight="1">
      <c r="A629" s="46"/>
      <c r="B629" s="10"/>
      <c r="C629" s="10"/>
      <c r="D629" s="10"/>
      <c r="E629" s="47"/>
      <c r="F629" s="10"/>
      <c r="G629" s="52"/>
      <c r="H629" s="10"/>
      <c r="I629" s="53"/>
      <c r="J629" s="54"/>
      <c r="K629" s="10"/>
      <c r="L629" s="10"/>
      <c r="M629" s="10"/>
    </row>
    <row r="630" ht="15.75" customHeight="1">
      <c r="A630" s="46"/>
      <c r="B630" s="10"/>
      <c r="C630" s="10"/>
      <c r="D630" s="10"/>
      <c r="E630" s="47"/>
      <c r="F630" s="10"/>
      <c r="G630" s="52"/>
      <c r="H630" s="10"/>
      <c r="I630" s="53"/>
      <c r="J630" s="54"/>
      <c r="K630" s="10"/>
      <c r="L630" s="10"/>
      <c r="M630" s="10"/>
    </row>
    <row r="631" ht="15.75" customHeight="1">
      <c r="A631" s="46"/>
      <c r="B631" s="10"/>
      <c r="C631" s="10"/>
      <c r="D631" s="10"/>
      <c r="E631" s="47"/>
      <c r="F631" s="10"/>
      <c r="G631" s="52"/>
      <c r="H631" s="10"/>
      <c r="I631" s="53"/>
      <c r="J631" s="54"/>
      <c r="K631" s="10"/>
      <c r="L631" s="10"/>
      <c r="M631" s="10"/>
    </row>
    <row r="632" ht="15.75" customHeight="1">
      <c r="A632" s="46"/>
      <c r="B632" s="10"/>
      <c r="C632" s="10"/>
      <c r="D632" s="10"/>
      <c r="E632" s="47"/>
      <c r="F632" s="10"/>
      <c r="G632" s="52"/>
      <c r="H632" s="10"/>
      <c r="I632" s="53"/>
      <c r="J632" s="54"/>
      <c r="K632" s="10"/>
      <c r="L632" s="10"/>
      <c r="M632" s="10"/>
    </row>
    <row r="633" ht="15.75" customHeight="1">
      <c r="A633" s="46"/>
      <c r="B633" s="10"/>
      <c r="C633" s="10"/>
      <c r="D633" s="10"/>
      <c r="E633" s="47"/>
      <c r="F633" s="10"/>
      <c r="G633" s="52"/>
      <c r="H633" s="10"/>
      <c r="I633" s="53"/>
      <c r="J633" s="54"/>
      <c r="K633" s="10"/>
      <c r="L633" s="10"/>
      <c r="M633" s="10"/>
    </row>
    <row r="634" ht="15.75" customHeight="1">
      <c r="A634" s="46"/>
      <c r="B634" s="10"/>
      <c r="C634" s="10"/>
      <c r="D634" s="10"/>
      <c r="E634" s="47"/>
      <c r="F634" s="10"/>
      <c r="G634" s="52"/>
      <c r="H634" s="10"/>
      <c r="I634" s="53"/>
      <c r="J634" s="54"/>
      <c r="K634" s="10"/>
      <c r="L634" s="10"/>
      <c r="M634" s="10"/>
    </row>
    <row r="635" ht="15.75" customHeight="1">
      <c r="A635" s="46"/>
      <c r="B635" s="10"/>
      <c r="C635" s="10"/>
      <c r="D635" s="10"/>
      <c r="E635" s="47"/>
      <c r="F635" s="10"/>
      <c r="G635" s="52"/>
      <c r="H635" s="10"/>
      <c r="I635" s="53"/>
      <c r="J635" s="54"/>
      <c r="K635" s="10"/>
      <c r="L635" s="10"/>
      <c r="M635" s="10"/>
    </row>
    <row r="636" ht="15.75" customHeight="1">
      <c r="A636" s="46"/>
      <c r="B636" s="10"/>
      <c r="C636" s="10"/>
      <c r="D636" s="10"/>
      <c r="E636" s="47"/>
      <c r="F636" s="10"/>
      <c r="G636" s="52"/>
      <c r="H636" s="10"/>
      <c r="I636" s="53"/>
      <c r="J636" s="54"/>
      <c r="K636" s="10"/>
      <c r="L636" s="10"/>
      <c r="M636" s="10"/>
    </row>
    <row r="637" ht="15.75" customHeight="1">
      <c r="A637" s="46"/>
      <c r="B637" s="10"/>
      <c r="C637" s="10"/>
      <c r="D637" s="10"/>
      <c r="E637" s="47"/>
      <c r="F637" s="10"/>
      <c r="G637" s="52"/>
      <c r="H637" s="10"/>
      <c r="I637" s="53"/>
      <c r="J637" s="54"/>
      <c r="K637" s="10"/>
      <c r="L637" s="10"/>
      <c r="M637" s="10"/>
    </row>
    <row r="638" ht="15.75" customHeight="1">
      <c r="A638" s="46"/>
      <c r="B638" s="10"/>
      <c r="C638" s="10"/>
      <c r="D638" s="10"/>
      <c r="E638" s="47"/>
      <c r="F638" s="10"/>
      <c r="G638" s="52"/>
      <c r="H638" s="10"/>
      <c r="I638" s="53"/>
      <c r="J638" s="54"/>
      <c r="K638" s="10"/>
      <c r="L638" s="10"/>
      <c r="M638" s="10"/>
    </row>
    <row r="639" ht="15.75" customHeight="1">
      <c r="A639" s="46"/>
      <c r="B639" s="10"/>
      <c r="C639" s="10"/>
      <c r="D639" s="10"/>
      <c r="E639" s="47"/>
      <c r="F639" s="10"/>
      <c r="G639" s="52"/>
      <c r="H639" s="10"/>
      <c r="I639" s="53"/>
      <c r="J639" s="54"/>
      <c r="K639" s="10"/>
      <c r="L639" s="10"/>
      <c r="M639" s="10"/>
    </row>
    <row r="640" ht="15.75" customHeight="1">
      <c r="A640" s="46"/>
      <c r="B640" s="10"/>
      <c r="C640" s="10"/>
      <c r="D640" s="10"/>
      <c r="E640" s="47"/>
      <c r="F640" s="10"/>
      <c r="G640" s="52"/>
      <c r="H640" s="10"/>
      <c r="I640" s="53"/>
      <c r="J640" s="54"/>
      <c r="K640" s="10"/>
      <c r="L640" s="10"/>
      <c r="M640" s="10"/>
    </row>
    <row r="641" ht="15.75" customHeight="1">
      <c r="A641" s="46"/>
      <c r="B641" s="10"/>
      <c r="C641" s="10"/>
      <c r="D641" s="10"/>
      <c r="E641" s="47"/>
      <c r="F641" s="10"/>
      <c r="G641" s="52"/>
      <c r="H641" s="10"/>
      <c r="I641" s="53"/>
      <c r="J641" s="54"/>
      <c r="K641" s="10"/>
      <c r="L641" s="10"/>
      <c r="M641" s="10"/>
    </row>
    <row r="642" ht="15.75" customHeight="1">
      <c r="A642" s="46"/>
      <c r="B642" s="10"/>
      <c r="C642" s="10"/>
      <c r="D642" s="10"/>
      <c r="E642" s="47"/>
      <c r="F642" s="10"/>
      <c r="G642" s="52"/>
      <c r="H642" s="10"/>
      <c r="I642" s="53"/>
      <c r="J642" s="54"/>
      <c r="K642" s="10"/>
      <c r="L642" s="10"/>
      <c r="M642" s="10"/>
    </row>
    <row r="643" ht="15.75" customHeight="1">
      <c r="A643" s="46"/>
      <c r="B643" s="10"/>
      <c r="C643" s="10"/>
      <c r="D643" s="10"/>
      <c r="E643" s="47"/>
      <c r="F643" s="10"/>
      <c r="G643" s="52"/>
      <c r="H643" s="10"/>
      <c r="I643" s="53"/>
      <c r="J643" s="54"/>
      <c r="K643" s="10"/>
      <c r="L643" s="10"/>
      <c r="M643" s="10"/>
    </row>
    <row r="644" ht="15.75" customHeight="1">
      <c r="A644" s="46"/>
      <c r="B644" s="10"/>
      <c r="C644" s="10"/>
      <c r="D644" s="10"/>
      <c r="E644" s="47"/>
      <c r="F644" s="10"/>
      <c r="G644" s="52"/>
      <c r="H644" s="10"/>
      <c r="I644" s="53"/>
      <c r="J644" s="54"/>
      <c r="K644" s="10"/>
      <c r="L644" s="10"/>
      <c r="M644" s="10"/>
    </row>
    <row r="645" ht="15.75" customHeight="1">
      <c r="A645" s="46"/>
      <c r="B645" s="10"/>
      <c r="C645" s="10"/>
      <c r="D645" s="10"/>
      <c r="E645" s="47"/>
      <c r="F645" s="10"/>
      <c r="G645" s="52"/>
      <c r="H645" s="10"/>
      <c r="I645" s="53"/>
      <c r="J645" s="54"/>
      <c r="K645" s="10"/>
      <c r="L645" s="10"/>
      <c r="M645" s="10"/>
    </row>
    <row r="646" ht="15.75" customHeight="1">
      <c r="A646" s="46"/>
      <c r="B646" s="10"/>
      <c r="C646" s="10"/>
      <c r="D646" s="10"/>
      <c r="E646" s="47"/>
      <c r="F646" s="10"/>
      <c r="G646" s="52"/>
      <c r="H646" s="10"/>
      <c r="I646" s="53"/>
      <c r="J646" s="54"/>
      <c r="K646" s="10"/>
      <c r="L646" s="10"/>
      <c r="M646" s="10"/>
    </row>
    <row r="647" ht="15.75" customHeight="1">
      <c r="A647" s="46"/>
      <c r="B647" s="10"/>
      <c r="C647" s="10"/>
      <c r="D647" s="10"/>
      <c r="E647" s="47"/>
      <c r="F647" s="10"/>
      <c r="G647" s="52"/>
      <c r="H647" s="10"/>
      <c r="I647" s="53"/>
      <c r="J647" s="54"/>
      <c r="K647" s="10"/>
      <c r="L647" s="10"/>
      <c r="M647" s="10"/>
    </row>
    <row r="648" ht="15.75" customHeight="1">
      <c r="A648" s="46"/>
      <c r="B648" s="10"/>
      <c r="C648" s="10"/>
      <c r="D648" s="10"/>
      <c r="E648" s="47"/>
      <c r="F648" s="10"/>
      <c r="G648" s="52"/>
      <c r="H648" s="10"/>
      <c r="I648" s="53"/>
      <c r="J648" s="54"/>
      <c r="K648" s="10"/>
      <c r="L648" s="10"/>
      <c r="M648" s="10"/>
    </row>
    <row r="649" ht="15.75" customHeight="1">
      <c r="A649" s="46"/>
      <c r="B649" s="10"/>
      <c r="C649" s="10"/>
      <c r="D649" s="10"/>
      <c r="E649" s="47"/>
      <c r="F649" s="10"/>
      <c r="G649" s="52"/>
      <c r="H649" s="10"/>
      <c r="I649" s="53"/>
      <c r="J649" s="54"/>
      <c r="K649" s="10"/>
      <c r="L649" s="10"/>
      <c r="M649" s="10"/>
    </row>
    <row r="650" ht="15.75" customHeight="1">
      <c r="A650" s="46"/>
      <c r="B650" s="10"/>
      <c r="C650" s="10"/>
      <c r="D650" s="10"/>
      <c r="E650" s="47"/>
      <c r="F650" s="10"/>
      <c r="G650" s="52"/>
      <c r="H650" s="10"/>
      <c r="I650" s="53"/>
      <c r="J650" s="54"/>
      <c r="K650" s="10"/>
      <c r="L650" s="10"/>
      <c r="M650" s="10"/>
    </row>
    <row r="651" ht="15.75" customHeight="1">
      <c r="A651" s="46"/>
      <c r="B651" s="10"/>
      <c r="C651" s="10"/>
      <c r="D651" s="10"/>
      <c r="E651" s="47"/>
      <c r="F651" s="10"/>
      <c r="G651" s="52"/>
      <c r="H651" s="10"/>
      <c r="I651" s="53"/>
      <c r="J651" s="54"/>
      <c r="K651" s="10"/>
      <c r="L651" s="10"/>
      <c r="M651" s="10"/>
    </row>
    <row r="652" ht="15.75" customHeight="1">
      <c r="A652" s="46"/>
      <c r="B652" s="10"/>
      <c r="C652" s="10"/>
      <c r="D652" s="10"/>
      <c r="E652" s="47"/>
      <c r="F652" s="10"/>
      <c r="G652" s="52"/>
      <c r="H652" s="10"/>
      <c r="I652" s="53"/>
      <c r="J652" s="54"/>
      <c r="K652" s="10"/>
      <c r="L652" s="10"/>
      <c r="M652" s="10"/>
    </row>
    <row r="653" ht="15.75" customHeight="1">
      <c r="A653" s="46"/>
      <c r="B653" s="10"/>
      <c r="C653" s="10"/>
      <c r="D653" s="10"/>
      <c r="E653" s="47"/>
      <c r="F653" s="10"/>
      <c r="G653" s="52"/>
      <c r="H653" s="10"/>
      <c r="I653" s="53"/>
      <c r="J653" s="54"/>
      <c r="K653" s="10"/>
      <c r="L653" s="10"/>
      <c r="M653" s="10"/>
    </row>
    <row r="654" ht="15.75" customHeight="1">
      <c r="A654" s="46"/>
      <c r="B654" s="10"/>
      <c r="C654" s="10"/>
      <c r="D654" s="10"/>
      <c r="E654" s="47"/>
      <c r="F654" s="10"/>
      <c r="G654" s="52"/>
      <c r="H654" s="10"/>
      <c r="I654" s="53"/>
      <c r="J654" s="54"/>
      <c r="K654" s="10"/>
      <c r="L654" s="10"/>
      <c r="M654" s="10"/>
    </row>
    <row r="655" ht="15.75" customHeight="1">
      <c r="A655" s="46"/>
      <c r="B655" s="10"/>
      <c r="C655" s="10"/>
      <c r="D655" s="10"/>
      <c r="E655" s="47"/>
      <c r="F655" s="10"/>
      <c r="G655" s="52"/>
      <c r="H655" s="10"/>
      <c r="I655" s="53"/>
      <c r="J655" s="54"/>
      <c r="K655" s="10"/>
      <c r="L655" s="10"/>
      <c r="M655" s="10"/>
    </row>
    <row r="656" ht="15.75" customHeight="1">
      <c r="A656" s="46"/>
      <c r="B656" s="10"/>
      <c r="C656" s="10"/>
      <c r="D656" s="10"/>
      <c r="E656" s="47"/>
      <c r="F656" s="10"/>
      <c r="G656" s="52"/>
      <c r="H656" s="10"/>
      <c r="I656" s="53"/>
      <c r="J656" s="54"/>
      <c r="K656" s="10"/>
      <c r="L656" s="10"/>
      <c r="M656" s="10"/>
    </row>
    <row r="657" ht="15.75" customHeight="1">
      <c r="A657" s="46"/>
      <c r="B657" s="10"/>
      <c r="C657" s="10"/>
      <c r="D657" s="10"/>
      <c r="E657" s="47"/>
      <c r="F657" s="10"/>
      <c r="G657" s="52"/>
      <c r="H657" s="10"/>
      <c r="I657" s="53"/>
      <c r="J657" s="54"/>
      <c r="K657" s="10"/>
      <c r="L657" s="10"/>
      <c r="M657" s="10"/>
    </row>
    <row r="658" ht="15.75" customHeight="1">
      <c r="A658" s="46"/>
      <c r="B658" s="10"/>
      <c r="C658" s="10"/>
      <c r="D658" s="10"/>
      <c r="E658" s="47"/>
      <c r="F658" s="10"/>
      <c r="G658" s="52"/>
      <c r="H658" s="10"/>
      <c r="I658" s="53"/>
      <c r="J658" s="54"/>
      <c r="K658" s="10"/>
      <c r="L658" s="10"/>
      <c r="M658" s="10"/>
    </row>
    <row r="659" ht="15.75" customHeight="1">
      <c r="A659" s="46"/>
      <c r="B659" s="10"/>
      <c r="C659" s="10"/>
      <c r="D659" s="10"/>
      <c r="E659" s="47"/>
      <c r="F659" s="10"/>
      <c r="G659" s="52"/>
      <c r="H659" s="10"/>
      <c r="I659" s="53"/>
      <c r="J659" s="54"/>
      <c r="K659" s="10"/>
      <c r="L659" s="10"/>
      <c r="M659" s="10"/>
    </row>
    <row r="660" ht="15.75" customHeight="1">
      <c r="A660" s="46"/>
      <c r="B660" s="10"/>
      <c r="C660" s="10"/>
      <c r="D660" s="10"/>
      <c r="E660" s="47"/>
      <c r="F660" s="10"/>
      <c r="G660" s="52"/>
      <c r="H660" s="10"/>
      <c r="I660" s="53"/>
      <c r="J660" s="54"/>
      <c r="K660" s="10"/>
      <c r="L660" s="10"/>
      <c r="M660" s="10"/>
    </row>
    <row r="661" ht="15.75" customHeight="1">
      <c r="A661" s="46"/>
      <c r="B661" s="10"/>
      <c r="C661" s="10"/>
      <c r="D661" s="10"/>
      <c r="E661" s="47"/>
      <c r="F661" s="10"/>
      <c r="G661" s="52"/>
      <c r="H661" s="10"/>
      <c r="I661" s="53"/>
      <c r="J661" s="54"/>
      <c r="K661" s="10"/>
      <c r="L661" s="10"/>
      <c r="M661" s="10"/>
    </row>
    <row r="662" ht="15.75" customHeight="1">
      <c r="A662" s="46"/>
      <c r="B662" s="10"/>
      <c r="C662" s="10"/>
      <c r="D662" s="10"/>
      <c r="E662" s="47"/>
      <c r="F662" s="10"/>
      <c r="G662" s="52"/>
      <c r="H662" s="10"/>
      <c r="I662" s="53"/>
      <c r="J662" s="54"/>
      <c r="K662" s="10"/>
      <c r="L662" s="10"/>
      <c r="M662" s="10"/>
    </row>
    <row r="663" ht="15.75" customHeight="1">
      <c r="A663" s="46"/>
      <c r="B663" s="10"/>
      <c r="C663" s="10"/>
      <c r="D663" s="10"/>
      <c r="E663" s="47"/>
      <c r="F663" s="10"/>
      <c r="G663" s="52"/>
      <c r="H663" s="10"/>
      <c r="I663" s="53"/>
      <c r="J663" s="54"/>
      <c r="K663" s="10"/>
      <c r="L663" s="10"/>
      <c r="M663" s="10"/>
    </row>
    <row r="664" ht="15.75" customHeight="1">
      <c r="A664" s="46"/>
      <c r="B664" s="10"/>
      <c r="C664" s="10"/>
      <c r="D664" s="10"/>
      <c r="E664" s="47"/>
      <c r="F664" s="10"/>
      <c r="G664" s="52"/>
      <c r="H664" s="10"/>
      <c r="I664" s="53"/>
      <c r="J664" s="54"/>
      <c r="K664" s="10"/>
      <c r="L664" s="10"/>
      <c r="M664" s="10"/>
    </row>
    <row r="665" ht="15.75" customHeight="1">
      <c r="A665" s="46"/>
      <c r="B665" s="10"/>
      <c r="C665" s="10"/>
      <c r="D665" s="10"/>
      <c r="E665" s="47"/>
      <c r="F665" s="10"/>
      <c r="G665" s="52"/>
      <c r="H665" s="10"/>
      <c r="I665" s="53"/>
      <c r="J665" s="54"/>
      <c r="K665" s="10"/>
      <c r="L665" s="10"/>
      <c r="M665" s="10"/>
    </row>
    <row r="666" ht="15.75" customHeight="1">
      <c r="A666" s="46"/>
      <c r="B666" s="10"/>
      <c r="C666" s="10"/>
      <c r="D666" s="10"/>
      <c r="E666" s="47"/>
      <c r="F666" s="10"/>
      <c r="G666" s="52"/>
      <c r="H666" s="10"/>
      <c r="I666" s="53"/>
      <c r="J666" s="54"/>
      <c r="K666" s="10"/>
      <c r="L666" s="10"/>
      <c r="M666" s="10"/>
    </row>
    <row r="667" ht="15.75" customHeight="1">
      <c r="A667" s="46"/>
      <c r="B667" s="10"/>
      <c r="C667" s="10"/>
      <c r="D667" s="10"/>
      <c r="E667" s="47"/>
      <c r="F667" s="10"/>
      <c r="G667" s="52"/>
      <c r="H667" s="10"/>
      <c r="I667" s="53"/>
      <c r="J667" s="54"/>
      <c r="K667" s="10"/>
      <c r="L667" s="10"/>
      <c r="M667" s="10"/>
    </row>
    <row r="668" ht="15.75" customHeight="1">
      <c r="A668" s="46"/>
      <c r="B668" s="10"/>
      <c r="C668" s="10"/>
      <c r="D668" s="10"/>
      <c r="E668" s="47"/>
      <c r="F668" s="10"/>
      <c r="G668" s="52"/>
      <c r="H668" s="10"/>
      <c r="I668" s="53"/>
      <c r="J668" s="54"/>
      <c r="K668" s="10"/>
      <c r="L668" s="10"/>
      <c r="M668" s="10"/>
    </row>
    <row r="669" ht="15.75" customHeight="1">
      <c r="A669" s="46"/>
      <c r="B669" s="10"/>
      <c r="C669" s="10"/>
      <c r="D669" s="10"/>
      <c r="E669" s="47"/>
      <c r="F669" s="10"/>
      <c r="G669" s="52"/>
      <c r="H669" s="10"/>
      <c r="I669" s="53"/>
      <c r="J669" s="54"/>
      <c r="K669" s="10"/>
      <c r="L669" s="10"/>
      <c r="M669" s="10"/>
    </row>
    <row r="670" ht="15.75" customHeight="1">
      <c r="A670" s="46"/>
      <c r="B670" s="10"/>
      <c r="C670" s="10"/>
      <c r="D670" s="10"/>
      <c r="E670" s="47"/>
      <c r="F670" s="10"/>
      <c r="G670" s="52"/>
      <c r="H670" s="10"/>
      <c r="I670" s="53"/>
      <c r="J670" s="54"/>
      <c r="K670" s="10"/>
      <c r="L670" s="10"/>
      <c r="M670" s="10"/>
    </row>
    <row r="671" ht="15.75" customHeight="1">
      <c r="A671" s="46"/>
      <c r="B671" s="10"/>
      <c r="C671" s="10"/>
      <c r="D671" s="10"/>
      <c r="E671" s="47"/>
      <c r="F671" s="10"/>
      <c r="G671" s="52"/>
      <c r="H671" s="10"/>
      <c r="I671" s="53"/>
      <c r="J671" s="54"/>
      <c r="K671" s="10"/>
      <c r="L671" s="10"/>
      <c r="M671" s="10"/>
    </row>
    <row r="672" ht="15.75" customHeight="1">
      <c r="A672" s="46"/>
      <c r="B672" s="10"/>
      <c r="C672" s="10"/>
      <c r="D672" s="10"/>
      <c r="E672" s="47"/>
      <c r="F672" s="10"/>
      <c r="G672" s="52"/>
      <c r="H672" s="10"/>
      <c r="I672" s="53"/>
      <c r="J672" s="54"/>
      <c r="K672" s="10"/>
      <c r="L672" s="10"/>
      <c r="M672" s="10"/>
    </row>
    <row r="673" ht="15.75" customHeight="1">
      <c r="A673" s="46"/>
      <c r="B673" s="10"/>
      <c r="C673" s="10"/>
      <c r="D673" s="10"/>
      <c r="E673" s="47"/>
      <c r="F673" s="10"/>
      <c r="G673" s="52"/>
      <c r="H673" s="10"/>
      <c r="I673" s="53"/>
      <c r="J673" s="54"/>
      <c r="K673" s="10"/>
      <c r="L673" s="10"/>
      <c r="M673" s="10"/>
    </row>
    <row r="674" ht="15.75" customHeight="1">
      <c r="A674" s="46"/>
      <c r="B674" s="10"/>
      <c r="C674" s="10"/>
      <c r="D674" s="10"/>
      <c r="E674" s="47"/>
      <c r="F674" s="10"/>
      <c r="G674" s="52"/>
      <c r="H674" s="10"/>
      <c r="I674" s="53"/>
      <c r="J674" s="54"/>
      <c r="K674" s="10"/>
      <c r="L674" s="10"/>
      <c r="M674" s="10"/>
    </row>
    <row r="675" ht="15.75" customHeight="1">
      <c r="A675" s="46"/>
      <c r="B675" s="10"/>
      <c r="C675" s="10"/>
      <c r="D675" s="10"/>
      <c r="E675" s="47"/>
      <c r="F675" s="10"/>
      <c r="G675" s="52"/>
      <c r="H675" s="10"/>
      <c r="I675" s="53"/>
      <c r="J675" s="54"/>
      <c r="K675" s="10"/>
      <c r="L675" s="10"/>
      <c r="M675" s="10"/>
    </row>
    <row r="676" ht="15.75" customHeight="1">
      <c r="A676" s="46"/>
      <c r="B676" s="10"/>
      <c r="C676" s="10"/>
      <c r="D676" s="10"/>
      <c r="E676" s="47"/>
      <c r="F676" s="10"/>
      <c r="G676" s="52"/>
      <c r="H676" s="10"/>
      <c r="I676" s="53"/>
      <c r="J676" s="54"/>
      <c r="K676" s="10"/>
      <c r="L676" s="10"/>
      <c r="M676" s="10"/>
    </row>
    <row r="677" ht="15.75" customHeight="1">
      <c r="A677" s="46"/>
      <c r="B677" s="10"/>
      <c r="C677" s="10"/>
      <c r="D677" s="10"/>
      <c r="E677" s="47"/>
      <c r="F677" s="10"/>
      <c r="G677" s="52"/>
      <c r="H677" s="10"/>
      <c r="I677" s="53"/>
      <c r="J677" s="54"/>
      <c r="K677" s="10"/>
      <c r="L677" s="10"/>
      <c r="M677" s="10"/>
    </row>
    <row r="678" ht="15.75" customHeight="1">
      <c r="A678" s="46"/>
      <c r="B678" s="10"/>
      <c r="C678" s="10"/>
      <c r="D678" s="10"/>
      <c r="E678" s="47"/>
      <c r="F678" s="10"/>
      <c r="G678" s="52"/>
      <c r="H678" s="10"/>
      <c r="I678" s="53"/>
      <c r="J678" s="54"/>
      <c r="K678" s="10"/>
      <c r="L678" s="10"/>
      <c r="M678" s="10"/>
    </row>
    <row r="679" ht="15.75" customHeight="1">
      <c r="A679" s="46"/>
      <c r="B679" s="10"/>
      <c r="C679" s="10"/>
      <c r="D679" s="10"/>
      <c r="E679" s="47"/>
      <c r="F679" s="10"/>
      <c r="G679" s="52"/>
      <c r="H679" s="10"/>
      <c r="I679" s="53"/>
      <c r="J679" s="54"/>
      <c r="K679" s="10"/>
      <c r="L679" s="10"/>
      <c r="M679" s="10"/>
    </row>
    <row r="680" ht="15.75" customHeight="1">
      <c r="A680" s="46"/>
      <c r="B680" s="10"/>
      <c r="C680" s="10"/>
      <c r="D680" s="10"/>
      <c r="E680" s="47"/>
      <c r="F680" s="10"/>
      <c r="G680" s="52"/>
      <c r="H680" s="10"/>
      <c r="I680" s="53"/>
      <c r="J680" s="54"/>
      <c r="K680" s="10"/>
      <c r="L680" s="10"/>
      <c r="M680" s="10"/>
    </row>
    <row r="681" ht="15.75" customHeight="1">
      <c r="A681" s="46"/>
      <c r="B681" s="10"/>
      <c r="C681" s="10"/>
      <c r="D681" s="10"/>
      <c r="E681" s="47"/>
      <c r="F681" s="10"/>
      <c r="G681" s="52"/>
      <c r="H681" s="10"/>
      <c r="I681" s="53"/>
      <c r="J681" s="54"/>
      <c r="K681" s="10"/>
      <c r="L681" s="10"/>
      <c r="M681" s="10"/>
    </row>
    <row r="682" ht="15.75" customHeight="1">
      <c r="A682" s="46"/>
      <c r="B682" s="10"/>
      <c r="C682" s="10"/>
      <c r="D682" s="10"/>
      <c r="E682" s="47"/>
      <c r="F682" s="10"/>
      <c r="G682" s="52"/>
      <c r="H682" s="10"/>
      <c r="I682" s="53"/>
      <c r="J682" s="54"/>
      <c r="K682" s="10"/>
      <c r="L682" s="10"/>
      <c r="M682" s="10"/>
    </row>
    <row r="683" ht="15.75" customHeight="1">
      <c r="A683" s="46"/>
      <c r="B683" s="10"/>
      <c r="C683" s="10"/>
      <c r="D683" s="10"/>
      <c r="E683" s="47"/>
      <c r="F683" s="10"/>
      <c r="G683" s="52"/>
      <c r="H683" s="10"/>
      <c r="I683" s="53"/>
      <c r="J683" s="54"/>
      <c r="K683" s="10"/>
      <c r="L683" s="10"/>
      <c r="M683" s="10"/>
    </row>
    <row r="684" ht="15.75" customHeight="1">
      <c r="A684" s="46"/>
      <c r="B684" s="10"/>
      <c r="C684" s="10"/>
      <c r="D684" s="10"/>
      <c r="E684" s="47"/>
      <c r="F684" s="10"/>
      <c r="G684" s="52"/>
      <c r="H684" s="10"/>
      <c r="I684" s="53"/>
      <c r="J684" s="54"/>
      <c r="K684" s="10"/>
      <c r="L684" s="10"/>
      <c r="M684" s="10"/>
    </row>
    <row r="685" ht="15.75" customHeight="1">
      <c r="A685" s="46"/>
      <c r="B685" s="10"/>
      <c r="C685" s="10"/>
      <c r="D685" s="10"/>
      <c r="E685" s="47"/>
      <c r="F685" s="10"/>
      <c r="G685" s="52"/>
      <c r="H685" s="10"/>
      <c r="I685" s="53"/>
      <c r="J685" s="54"/>
      <c r="K685" s="10"/>
      <c r="L685" s="10"/>
      <c r="M685" s="10"/>
    </row>
    <row r="686" ht="15.75" customHeight="1">
      <c r="A686" s="46"/>
      <c r="B686" s="10"/>
      <c r="C686" s="10"/>
      <c r="D686" s="10"/>
      <c r="E686" s="47"/>
      <c r="F686" s="10"/>
      <c r="G686" s="52"/>
      <c r="H686" s="10"/>
      <c r="I686" s="53"/>
      <c r="J686" s="54"/>
      <c r="K686" s="10"/>
      <c r="L686" s="10"/>
      <c r="M686" s="10"/>
    </row>
    <row r="687" ht="15.75" customHeight="1">
      <c r="A687" s="46"/>
      <c r="B687" s="10"/>
      <c r="C687" s="10"/>
      <c r="D687" s="10"/>
      <c r="E687" s="47"/>
      <c r="F687" s="10"/>
      <c r="G687" s="52"/>
      <c r="H687" s="10"/>
      <c r="I687" s="53"/>
      <c r="J687" s="54"/>
      <c r="K687" s="10"/>
      <c r="L687" s="10"/>
      <c r="M687" s="10"/>
    </row>
    <row r="688" ht="15.75" customHeight="1">
      <c r="A688" s="46"/>
      <c r="B688" s="10"/>
      <c r="C688" s="10"/>
      <c r="D688" s="10"/>
      <c r="E688" s="47"/>
      <c r="F688" s="10"/>
      <c r="G688" s="52"/>
      <c r="H688" s="10"/>
      <c r="I688" s="53"/>
      <c r="J688" s="54"/>
      <c r="K688" s="10"/>
      <c r="L688" s="10"/>
      <c r="M688" s="10"/>
    </row>
    <row r="689" ht="15.75" customHeight="1">
      <c r="A689" s="46"/>
      <c r="B689" s="10"/>
      <c r="C689" s="10"/>
      <c r="D689" s="10"/>
      <c r="E689" s="47"/>
      <c r="F689" s="10"/>
      <c r="G689" s="52"/>
      <c r="H689" s="10"/>
      <c r="I689" s="53"/>
      <c r="J689" s="54"/>
      <c r="K689" s="10"/>
      <c r="L689" s="10"/>
      <c r="M689" s="10"/>
    </row>
    <row r="690" ht="15.75" customHeight="1">
      <c r="A690" s="46"/>
      <c r="B690" s="10"/>
      <c r="C690" s="10"/>
      <c r="D690" s="10"/>
      <c r="E690" s="47"/>
      <c r="F690" s="10"/>
      <c r="G690" s="52"/>
      <c r="H690" s="10"/>
      <c r="I690" s="53"/>
      <c r="J690" s="54"/>
      <c r="K690" s="10"/>
      <c r="L690" s="10"/>
      <c r="M690" s="10"/>
    </row>
    <row r="691" ht="15.75" customHeight="1">
      <c r="A691" s="46"/>
      <c r="B691" s="10"/>
      <c r="C691" s="10"/>
      <c r="D691" s="10"/>
      <c r="E691" s="47"/>
      <c r="F691" s="10"/>
      <c r="G691" s="52"/>
      <c r="H691" s="10"/>
      <c r="I691" s="53"/>
      <c r="J691" s="54"/>
      <c r="K691" s="10"/>
      <c r="L691" s="10"/>
      <c r="M691" s="10"/>
    </row>
    <row r="692" ht="15.75" customHeight="1">
      <c r="A692" s="46"/>
      <c r="B692" s="10"/>
      <c r="C692" s="10"/>
      <c r="D692" s="10"/>
      <c r="E692" s="47"/>
      <c r="F692" s="10"/>
      <c r="G692" s="52"/>
      <c r="H692" s="10"/>
      <c r="I692" s="53"/>
      <c r="J692" s="54"/>
      <c r="K692" s="10"/>
      <c r="L692" s="10"/>
      <c r="M692" s="10"/>
    </row>
    <row r="693" ht="15.75" customHeight="1">
      <c r="A693" s="46"/>
      <c r="B693" s="10"/>
      <c r="C693" s="10"/>
      <c r="D693" s="10"/>
      <c r="E693" s="47"/>
      <c r="F693" s="10"/>
      <c r="G693" s="52"/>
      <c r="H693" s="10"/>
      <c r="I693" s="53"/>
      <c r="J693" s="54"/>
      <c r="K693" s="10"/>
      <c r="L693" s="10"/>
      <c r="M693" s="10"/>
    </row>
    <row r="694" ht="15.75" customHeight="1">
      <c r="A694" s="46"/>
      <c r="B694" s="10"/>
      <c r="C694" s="10"/>
      <c r="D694" s="10"/>
      <c r="E694" s="47"/>
      <c r="F694" s="10"/>
      <c r="G694" s="52"/>
      <c r="H694" s="10"/>
      <c r="I694" s="53"/>
      <c r="J694" s="54"/>
      <c r="K694" s="10"/>
      <c r="L694" s="10"/>
      <c r="M694" s="10"/>
    </row>
    <row r="695" ht="15.75" customHeight="1">
      <c r="A695" s="46"/>
      <c r="B695" s="10"/>
      <c r="C695" s="10"/>
      <c r="D695" s="10"/>
      <c r="E695" s="47"/>
      <c r="F695" s="10"/>
      <c r="G695" s="52"/>
      <c r="H695" s="10"/>
      <c r="I695" s="53"/>
      <c r="J695" s="54"/>
      <c r="K695" s="10"/>
      <c r="L695" s="10"/>
      <c r="M695" s="10"/>
    </row>
    <row r="696" ht="15.75" customHeight="1">
      <c r="A696" s="46"/>
      <c r="B696" s="10"/>
      <c r="C696" s="10"/>
      <c r="D696" s="10"/>
      <c r="E696" s="47"/>
      <c r="F696" s="10"/>
      <c r="G696" s="52"/>
      <c r="H696" s="10"/>
      <c r="I696" s="53"/>
      <c r="J696" s="54"/>
      <c r="K696" s="10"/>
      <c r="L696" s="10"/>
      <c r="M696" s="10"/>
    </row>
    <row r="697" ht="15.75" customHeight="1">
      <c r="A697" s="46"/>
      <c r="B697" s="10"/>
      <c r="C697" s="10"/>
      <c r="D697" s="10"/>
      <c r="E697" s="47"/>
      <c r="F697" s="10"/>
      <c r="G697" s="52"/>
      <c r="H697" s="10"/>
      <c r="I697" s="53"/>
      <c r="J697" s="54"/>
      <c r="K697" s="10"/>
      <c r="L697" s="10"/>
      <c r="M697" s="10"/>
    </row>
    <row r="698" ht="15.75" customHeight="1">
      <c r="A698" s="46"/>
      <c r="B698" s="10"/>
      <c r="C698" s="10"/>
      <c r="D698" s="10"/>
      <c r="E698" s="47"/>
      <c r="F698" s="10"/>
      <c r="G698" s="52"/>
      <c r="H698" s="10"/>
      <c r="I698" s="53"/>
      <c r="J698" s="54"/>
      <c r="K698" s="10"/>
      <c r="L698" s="10"/>
      <c r="M698" s="10"/>
    </row>
    <row r="699" ht="15.75" customHeight="1">
      <c r="A699" s="46"/>
      <c r="B699" s="10"/>
      <c r="C699" s="10"/>
      <c r="D699" s="10"/>
      <c r="E699" s="47"/>
      <c r="F699" s="10"/>
      <c r="G699" s="52"/>
      <c r="H699" s="10"/>
      <c r="I699" s="53"/>
      <c r="J699" s="54"/>
      <c r="K699" s="10"/>
      <c r="L699" s="10"/>
      <c r="M699" s="10"/>
    </row>
    <row r="700" ht="15.75" customHeight="1">
      <c r="A700" s="46"/>
      <c r="B700" s="10"/>
      <c r="C700" s="10"/>
      <c r="D700" s="10"/>
      <c r="E700" s="47"/>
      <c r="F700" s="10"/>
      <c r="G700" s="52"/>
      <c r="H700" s="10"/>
      <c r="I700" s="53"/>
      <c r="J700" s="54"/>
      <c r="K700" s="10"/>
      <c r="L700" s="10"/>
      <c r="M700" s="10"/>
    </row>
    <row r="701" ht="15.75" customHeight="1">
      <c r="A701" s="46"/>
      <c r="B701" s="10"/>
      <c r="C701" s="10"/>
      <c r="D701" s="10"/>
      <c r="E701" s="47"/>
      <c r="F701" s="10"/>
      <c r="G701" s="52"/>
      <c r="H701" s="10"/>
      <c r="I701" s="53"/>
      <c r="J701" s="54"/>
      <c r="K701" s="10"/>
      <c r="L701" s="10"/>
      <c r="M701" s="10"/>
    </row>
    <row r="702" ht="15.75" customHeight="1">
      <c r="A702" s="46"/>
      <c r="B702" s="10"/>
      <c r="C702" s="10"/>
      <c r="D702" s="10"/>
      <c r="E702" s="47"/>
      <c r="F702" s="10"/>
      <c r="G702" s="52"/>
      <c r="H702" s="10"/>
      <c r="I702" s="53"/>
      <c r="J702" s="54"/>
      <c r="K702" s="10"/>
      <c r="L702" s="10"/>
      <c r="M702" s="10"/>
    </row>
    <row r="703" ht="15.75" customHeight="1">
      <c r="A703" s="46"/>
      <c r="B703" s="10"/>
      <c r="C703" s="10"/>
      <c r="D703" s="10"/>
      <c r="E703" s="47"/>
      <c r="F703" s="10"/>
      <c r="G703" s="52"/>
      <c r="H703" s="10"/>
      <c r="I703" s="53"/>
      <c r="J703" s="54"/>
      <c r="K703" s="10"/>
      <c r="L703" s="10"/>
      <c r="M703" s="10"/>
    </row>
    <row r="704" ht="15.75" customHeight="1">
      <c r="A704" s="46"/>
      <c r="B704" s="10"/>
      <c r="C704" s="10"/>
      <c r="D704" s="10"/>
      <c r="E704" s="47"/>
      <c r="F704" s="10"/>
      <c r="G704" s="52"/>
      <c r="H704" s="10"/>
      <c r="I704" s="53"/>
      <c r="J704" s="54"/>
      <c r="K704" s="10"/>
      <c r="L704" s="10"/>
      <c r="M704" s="10"/>
    </row>
    <row r="705" ht="15.75" customHeight="1">
      <c r="A705" s="46"/>
      <c r="B705" s="10"/>
      <c r="C705" s="10"/>
      <c r="D705" s="10"/>
      <c r="E705" s="47"/>
      <c r="F705" s="10"/>
      <c r="G705" s="52"/>
      <c r="H705" s="10"/>
      <c r="I705" s="53"/>
      <c r="J705" s="54"/>
      <c r="K705" s="10"/>
      <c r="L705" s="10"/>
      <c r="M705" s="10"/>
    </row>
    <row r="706" ht="15.75" customHeight="1">
      <c r="A706" s="46"/>
      <c r="B706" s="10"/>
      <c r="C706" s="10"/>
      <c r="D706" s="10"/>
      <c r="E706" s="47"/>
      <c r="F706" s="10"/>
      <c r="G706" s="52"/>
      <c r="H706" s="10"/>
      <c r="I706" s="53"/>
      <c r="J706" s="54"/>
      <c r="K706" s="10"/>
      <c r="L706" s="10"/>
      <c r="M706" s="10"/>
    </row>
    <row r="707" ht="15.75" customHeight="1">
      <c r="A707" s="46"/>
      <c r="B707" s="10"/>
      <c r="C707" s="10"/>
      <c r="D707" s="10"/>
      <c r="E707" s="47"/>
      <c r="F707" s="10"/>
      <c r="G707" s="52"/>
      <c r="H707" s="10"/>
      <c r="I707" s="53"/>
      <c r="J707" s="54"/>
      <c r="K707" s="10"/>
      <c r="L707" s="10"/>
      <c r="M707" s="10"/>
    </row>
    <row r="708" ht="15.75" customHeight="1">
      <c r="A708" s="46"/>
      <c r="B708" s="10"/>
      <c r="C708" s="10"/>
      <c r="D708" s="10"/>
      <c r="E708" s="47"/>
      <c r="F708" s="10"/>
      <c r="G708" s="52"/>
      <c r="H708" s="10"/>
      <c r="I708" s="53"/>
      <c r="J708" s="54"/>
      <c r="K708" s="10"/>
      <c r="L708" s="10"/>
      <c r="M708" s="10"/>
    </row>
    <row r="709" ht="15.75" customHeight="1">
      <c r="A709" s="46"/>
      <c r="B709" s="10"/>
      <c r="C709" s="10"/>
      <c r="D709" s="10"/>
      <c r="E709" s="47"/>
      <c r="F709" s="10"/>
      <c r="G709" s="52"/>
      <c r="H709" s="10"/>
      <c r="I709" s="53"/>
      <c r="J709" s="54"/>
      <c r="K709" s="10"/>
      <c r="L709" s="10"/>
      <c r="M709" s="10"/>
    </row>
    <row r="710" ht="15.75" customHeight="1">
      <c r="A710" s="46"/>
      <c r="B710" s="10"/>
      <c r="C710" s="10"/>
      <c r="D710" s="10"/>
      <c r="E710" s="47"/>
      <c r="F710" s="10"/>
      <c r="G710" s="52"/>
      <c r="H710" s="10"/>
      <c r="I710" s="53"/>
      <c r="J710" s="54"/>
      <c r="K710" s="10"/>
      <c r="L710" s="10"/>
      <c r="M710" s="10"/>
    </row>
    <row r="711" ht="15.75" customHeight="1">
      <c r="A711" s="46"/>
      <c r="B711" s="10"/>
      <c r="C711" s="10"/>
      <c r="D711" s="10"/>
      <c r="E711" s="47"/>
      <c r="F711" s="10"/>
      <c r="G711" s="52"/>
      <c r="H711" s="10"/>
      <c r="I711" s="53"/>
      <c r="J711" s="54"/>
      <c r="K711" s="10"/>
      <c r="L711" s="10"/>
      <c r="M711" s="10"/>
    </row>
    <row r="712" ht="15.75" customHeight="1">
      <c r="A712" s="46"/>
      <c r="B712" s="10"/>
      <c r="C712" s="10"/>
      <c r="D712" s="10"/>
      <c r="E712" s="47"/>
      <c r="F712" s="10"/>
      <c r="G712" s="52"/>
      <c r="H712" s="10"/>
      <c r="I712" s="53"/>
      <c r="J712" s="54"/>
      <c r="K712" s="10"/>
      <c r="L712" s="10"/>
      <c r="M712" s="10"/>
    </row>
    <row r="713" ht="15.75" customHeight="1">
      <c r="A713" s="46"/>
      <c r="B713" s="10"/>
      <c r="C713" s="10"/>
      <c r="D713" s="10"/>
      <c r="E713" s="47"/>
      <c r="F713" s="10"/>
      <c r="G713" s="52"/>
      <c r="H713" s="10"/>
      <c r="I713" s="53"/>
      <c r="J713" s="54"/>
      <c r="K713" s="10"/>
      <c r="L713" s="10"/>
      <c r="M713" s="10"/>
    </row>
    <row r="714" ht="15.75" customHeight="1">
      <c r="A714" s="46"/>
      <c r="B714" s="10"/>
      <c r="C714" s="10"/>
      <c r="D714" s="10"/>
      <c r="E714" s="47"/>
      <c r="F714" s="10"/>
      <c r="G714" s="52"/>
      <c r="H714" s="10"/>
      <c r="I714" s="53"/>
      <c r="J714" s="54"/>
      <c r="K714" s="10"/>
      <c r="L714" s="10"/>
      <c r="M714" s="10"/>
    </row>
    <row r="715" ht="15.75" customHeight="1">
      <c r="A715" s="46"/>
      <c r="B715" s="10"/>
      <c r="C715" s="10"/>
      <c r="D715" s="10"/>
      <c r="E715" s="47"/>
      <c r="F715" s="10"/>
      <c r="G715" s="52"/>
      <c r="H715" s="10"/>
      <c r="I715" s="53"/>
      <c r="J715" s="54"/>
      <c r="K715" s="10"/>
      <c r="L715" s="10"/>
      <c r="M715" s="10"/>
    </row>
    <row r="716" ht="15.75" customHeight="1">
      <c r="A716" s="46"/>
      <c r="B716" s="10"/>
      <c r="C716" s="10"/>
      <c r="D716" s="10"/>
      <c r="E716" s="47"/>
      <c r="F716" s="10"/>
      <c r="G716" s="52"/>
      <c r="H716" s="10"/>
      <c r="I716" s="53"/>
      <c r="J716" s="54"/>
      <c r="K716" s="10"/>
      <c r="L716" s="10"/>
      <c r="M716" s="10"/>
    </row>
    <row r="717" ht="15.75" customHeight="1">
      <c r="A717" s="46"/>
      <c r="B717" s="10"/>
      <c r="C717" s="10"/>
      <c r="D717" s="10"/>
      <c r="E717" s="47"/>
      <c r="F717" s="10"/>
      <c r="G717" s="52"/>
      <c r="H717" s="10"/>
      <c r="I717" s="53"/>
      <c r="J717" s="54"/>
      <c r="K717" s="10"/>
      <c r="L717" s="10"/>
      <c r="M717" s="10"/>
    </row>
    <row r="718" ht="15.75" customHeight="1">
      <c r="A718" s="46"/>
      <c r="B718" s="10"/>
      <c r="C718" s="10"/>
      <c r="D718" s="10"/>
      <c r="E718" s="47"/>
      <c r="F718" s="10"/>
      <c r="G718" s="52"/>
      <c r="H718" s="10"/>
      <c r="I718" s="53"/>
      <c r="J718" s="54"/>
      <c r="K718" s="10"/>
      <c r="L718" s="10"/>
      <c r="M718" s="10"/>
    </row>
    <row r="719" ht="15.75" customHeight="1">
      <c r="A719" s="46"/>
      <c r="B719" s="10"/>
      <c r="C719" s="10"/>
      <c r="D719" s="10"/>
      <c r="E719" s="47"/>
      <c r="F719" s="10"/>
      <c r="G719" s="52"/>
      <c r="H719" s="10"/>
      <c r="I719" s="53"/>
      <c r="J719" s="54"/>
      <c r="K719" s="10"/>
      <c r="L719" s="10"/>
      <c r="M719" s="10"/>
    </row>
    <row r="720" ht="15.75" customHeight="1">
      <c r="A720" s="46"/>
      <c r="B720" s="10"/>
      <c r="C720" s="10"/>
      <c r="D720" s="10"/>
      <c r="E720" s="47"/>
      <c r="F720" s="10"/>
      <c r="G720" s="52"/>
      <c r="H720" s="10"/>
      <c r="I720" s="53"/>
      <c r="J720" s="54"/>
      <c r="K720" s="10"/>
      <c r="L720" s="10"/>
      <c r="M720" s="10"/>
    </row>
    <row r="721" ht="15.75" customHeight="1">
      <c r="A721" s="46"/>
      <c r="B721" s="10"/>
      <c r="C721" s="10"/>
      <c r="D721" s="10"/>
      <c r="E721" s="47"/>
      <c r="F721" s="10"/>
      <c r="G721" s="52"/>
      <c r="H721" s="10"/>
      <c r="I721" s="53"/>
      <c r="J721" s="54"/>
      <c r="K721" s="10"/>
      <c r="L721" s="10"/>
      <c r="M721" s="10"/>
    </row>
    <row r="722" ht="15.75" customHeight="1">
      <c r="A722" s="46"/>
      <c r="B722" s="10"/>
      <c r="C722" s="10"/>
      <c r="D722" s="10"/>
      <c r="E722" s="47"/>
      <c r="F722" s="10"/>
      <c r="G722" s="52"/>
      <c r="H722" s="10"/>
      <c r="I722" s="53"/>
      <c r="J722" s="54"/>
      <c r="K722" s="10"/>
      <c r="L722" s="10"/>
      <c r="M722" s="10"/>
    </row>
    <row r="723" ht="15.75" customHeight="1">
      <c r="A723" s="46"/>
      <c r="B723" s="10"/>
      <c r="C723" s="10"/>
      <c r="D723" s="10"/>
      <c r="E723" s="47"/>
      <c r="F723" s="10"/>
      <c r="G723" s="52"/>
      <c r="H723" s="10"/>
      <c r="I723" s="53"/>
      <c r="J723" s="54"/>
      <c r="K723" s="10"/>
      <c r="L723" s="10"/>
      <c r="M723" s="10"/>
    </row>
    <row r="724" ht="15.75" customHeight="1">
      <c r="A724" s="46"/>
      <c r="B724" s="10"/>
      <c r="C724" s="10"/>
      <c r="D724" s="10"/>
      <c r="E724" s="47"/>
      <c r="F724" s="10"/>
      <c r="G724" s="52"/>
      <c r="H724" s="10"/>
      <c r="I724" s="53"/>
      <c r="J724" s="54"/>
      <c r="K724" s="10"/>
      <c r="L724" s="10"/>
      <c r="M724" s="10"/>
    </row>
    <row r="725" ht="15.75" customHeight="1">
      <c r="A725" s="46"/>
      <c r="B725" s="10"/>
      <c r="C725" s="10"/>
      <c r="D725" s="10"/>
      <c r="E725" s="47"/>
      <c r="F725" s="10"/>
      <c r="G725" s="52"/>
      <c r="H725" s="10"/>
      <c r="I725" s="53"/>
      <c r="J725" s="54"/>
      <c r="K725" s="10"/>
      <c r="L725" s="10"/>
      <c r="M725" s="10"/>
    </row>
    <row r="726" ht="15.75" customHeight="1">
      <c r="A726" s="46"/>
      <c r="B726" s="10"/>
      <c r="C726" s="10"/>
      <c r="D726" s="10"/>
      <c r="E726" s="47"/>
      <c r="F726" s="10"/>
      <c r="G726" s="52"/>
      <c r="H726" s="10"/>
      <c r="I726" s="53"/>
      <c r="J726" s="54"/>
      <c r="K726" s="10"/>
      <c r="L726" s="10"/>
      <c r="M726" s="10"/>
    </row>
    <row r="727" ht="15.75" customHeight="1">
      <c r="A727" s="46"/>
      <c r="B727" s="10"/>
      <c r="C727" s="10"/>
      <c r="D727" s="10"/>
      <c r="E727" s="47"/>
      <c r="F727" s="10"/>
      <c r="G727" s="52"/>
      <c r="H727" s="10"/>
      <c r="I727" s="53"/>
      <c r="J727" s="54"/>
      <c r="K727" s="10"/>
      <c r="L727" s="10"/>
      <c r="M727" s="10"/>
    </row>
    <row r="728" ht="15.75" customHeight="1">
      <c r="A728" s="46"/>
      <c r="B728" s="10"/>
      <c r="C728" s="10"/>
      <c r="D728" s="10"/>
      <c r="E728" s="47"/>
      <c r="F728" s="10"/>
      <c r="G728" s="52"/>
      <c r="H728" s="10"/>
      <c r="I728" s="53"/>
      <c r="J728" s="54"/>
      <c r="K728" s="10"/>
      <c r="L728" s="10"/>
      <c r="M728" s="10"/>
    </row>
    <row r="729" ht="15.75" customHeight="1">
      <c r="A729" s="46"/>
      <c r="B729" s="10"/>
      <c r="C729" s="10"/>
      <c r="D729" s="10"/>
      <c r="E729" s="47"/>
      <c r="F729" s="10"/>
      <c r="G729" s="52"/>
      <c r="H729" s="10"/>
      <c r="I729" s="53"/>
      <c r="J729" s="54"/>
      <c r="K729" s="10"/>
      <c r="L729" s="10"/>
      <c r="M729" s="10"/>
    </row>
    <row r="730" ht="15.75" customHeight="1">
      <c r="A730" s="46"/>
      <c r="B730" s="10"/>
      <c r="C730" s="10"/>
      <c r="D730" s="10"/>
      <c r="E730" s="47"/>
      <c r="F730" s="10"/>
      <c r="G730" s="52"/>
      <c r="H730" s="10"/>
      <c r="I730" s="53"/>
      <c r="J730" s="54"/>
      <c r="K730" s="10"/>
      <c r="L730" s="10"/>
      <c r="M730" s="10"/>
    </row>
    <row r="731" ht="15.75" customHeight="1">
      <c r="A731" s="46"/>
      <c r="B731" s="10"/>
      <c r="C731" s="10"/>
      <c r="D731" s="10"/>
      <c r="E731" s="47"/>
      <c r="F731" s="10"/>
      <c r="G731" s="52"/>
      <c r="H731" s="10"/>
      <c r="I731" s="53"/>
      <c r="J731" s="54"/>
      <c r="K731" s="10"/>
      <c r="L731" s="10"/>
      <c r="M731" s="10"/>
    </row>
    <row r="732" ht="15.75" customHeight="1">
      <c r="A732" s="46"/>
      <c r="B732" s="10"/>
      <c r="C732" s="10"/>
      <c r="D732" s="10"/>
      <c r="E732" s="47"/>
      <c r="F732" s="10"/>
      <c r="G732" s="52"/>
      <c r="H732" s="10"/>
      <c r="I732" s="53"/>
      <c r="J732" s="54"/>
      <c r="K732" s="10"/>
      <c r="L732" s="10"/>
      <c r="M732" s="10"/>
    </row>
    <row r="733" ht="15.75" customHeight="1">
      <c r="A733" s="46"/>
      <c r="B733" s="10"/>
      <c r="C733" s="10"/>
      <c r="D733" s="10"/>
      <c r="E733" s="47"/>
      <c r="F733" s="10"/>
      <c r="G733" s="52"/>
      <c r="H733" s="10"/>
      <c r="I733" s="53"/>
      <c r="J733" s="54"/>
      <c r="K733" s="10"/>
      <c r="L733" s="10"/>
      <c r="M733" s="10"/>
    </row>
    <row r="734" ht="15.75" customHeight="1">
      <c r="A734" s="46"/>
      <c r="B734" s="10"/>
      <c r="C734" s="10"/>
      <c r="D734" s="10"/>
      <c r="E734" s="47"/>
      <c r="F734" s="10"/>
      <c r="G734" s="52"/>
      <c r="H734" s="10"/>
      <c r="I734" s="53"/>
      <c r="J734" s="54"/>
      <c r="K734" s="10"/>
      <c r="L734" s="10"/>
      <c r="M734" s="10"/>
    </row>
    <row r="735" ht="15.75" customHeight="1">
      <c r="A735" s="46"/>
      <c r="B735" s="10"/>
      <c r="C735" s="10"/>
      <c r="D735" s="10"/>
      <c r="E735" s="47"/>
      <c r="F735" s="10"/>
      <c r="G735" s="52"/>
      <c r="H735" s="10"/>
      <c r="I735" s="53"/>
      <c r="J735" s="54"/>
      <c r="K735" s="10"/>
      <c r="L735" s="10"/>
      <c r="M735" s="10"/>
    </row>
    <row r="736" ht="15.75" customHeight="1">
      <c r="A736" s="46"/>
      <c r="B736" s="10"/>
      <c r="C736" s="10"/>
      <c r="D736" s="10"/>
      <c r="E736" s="47"/>
      <c r="F736" s="10"/>
      <c r="G736" s="52"/>
      <c r="H736" s="10"/>
      <c r="I736" s="53"/>
      <c r="J736" s="54"/>
      <c r="K736" s="10"/>
      <c r="L736" s="10"/>
      <c r="M736" s="10"/>
    </row>
    <row r="737" ht="15.75" customHeight="1">
      <c r="A737" s="46"/>
      <c r="B737" s="10"/>
      <c r="C737" s="10"/>
      <c r="D737" s="10"/>
      <c r="E737" s="47"/>
      <c r="F737" s="10"/>
      <c r="G737" s="52"/>
      <c r="H737" s="10"/>
      <c r="I737" s="53"/>
      <c r="J737" s="54"/>
      <c r="K737" s="10"/>
      <c r="L737" s="10"/>
      <c r="M737" s="10"/>
    </row>
    <row r="738" ht="15.75" customHeight="1">
      <c r="A738" s="46"/>
      <c r="B738" s="10"/>
      <c r="C738" s="10"/>
      <c r="D738" s="10"/>
      <c r="E738" s="47"/>
      <c r="F738" s="10"/>
      <c r="G738" s="52"/>
      <c r="H738" s="10"/>
      <c r="I738" s="53"/>
      <c r="J738" s="54"/>
      <c r="K738" s="10"/>
      <c r="L738" s="10"/>
      <c r="M738" s="10"/>
    </row>
    <row r="739" ht="15.75" customHeight="1">
      <c r="A739" s="46"/>
      <c r="B739" s="10"/>
      <c r="C739" s="10"/>
      <c r="D739" s="10"/>
      <c r="E739" s="47"/>
      <c r="F739" s="10"/>
      <c r="G739" s="52"/>
      <c r="H739" s="10"/>
      <c r="I739" s="53"/>
      <c r="J739" s="54"/>
      <c r="K739" s="10"/>
      <c r="L739" s="10"/>
      <c r="M739" s="10"/>
    </row>
    <row r="740" ht="15.75" customHeight="1">
      <c r="A740" s="46"/>
      <c r="B740" s="10"/>
      <c r="C740" s="10"/>
      <c r="D740" s="10"/>
      <c r="E740" s="47"/>
      <c r="F740" s="10"/>
      <c r="G740" s="52"/>
      <c r="H740" s="10"/>
      <c r="I740" s="53"/>
      <c r="J740" s="54"/>
      <c r="K740" s="10"/>
      <c r="L740" s="10"/>
      <c r="M740" s="10"/>
    </row>
    <row r="741" ht="15.75" customHeight="1">
      <c r="A741" s="46"/>
      <c r="B741" s="10"/>
      <c r="C741" s="10"/>
      <c r="D741" s="10"/>
      <c r="E741" s="47"/>
      <c r="F741" s="10"/>
      <c r="G741" s="52"/>
      <c r="H741" s="10"/>
      <c r="I741" s="53"/>
      <c r="J741" s="54"/>
      <c r="K741" s="10"/>
      <c r="L741" s="10"/>
      <c r="M741" s="10"/>
    </row>
    <row r="742" ht="15.75" customHeight="1">
      <c r="A742" s="46"/>
      <c r="B742" s="10"/>
      <c r="C742" s="10"/>
      <c r="D742" s="10"/>
      <c r="E742" s="47"/>
      <c r="F742" s="10"/>
      <c r="G742" s="52"/>
      <c r="H742" s="10"/>
      <c r="I742" s="53"/>
      <c r="J742" s="54"/>
      <c r="K742" s="10"/>
      <c r="L742" s="10"/>
      <c r="M742" s="10"/>
    </row>
    <row r="743" ht="15.75" customHeight="1">
      <c r="A743" s="46"/>
      <c r="B743" s="10"/>
      <c r="C743" s="10"/>
      <c r="D743" s="10"/>
      <c r="E743" s="47"/>
      <c r="F743" s="10"/>
      <c r="G743" s="52"/>
      <c r="H743" s="10"/>
      <c r="I743" s="53"/>
      <c r="J743" s="54"/>
      <c r="K743" s="10"/>
      <c r="L743" s="10"/>
      <c r="M743" s="10"/>
    </row>
    <row r="744" ht="15.75" customHeight="1">
      <c r="A744" s="46"/>
      <c r="B744" s="10"/>
      <c r="C744" s="10"/>
      <c r="D744" s="10"/>
      <c r="E744" s="47"/>
      <c r="F744" s="10"/>
      <c r="G744" s="52"/>
      <c r="H744" s="10"/>
      <c r="I744" s="53"/>
      <c r="J744" s="54"/>
      <c r="K744" s="10"/>
      <c r="L744" s="10"/>
      <c r="M744" s="10"/>
    </row>
    <row r="745" ht="15.75" customHeight="1">
      <c r="A745" s="46"/>
      <c r="B745" s="10"/>
      <c r="C745" s="10"/>
      <c r="D745" s="10"/>
      <c r="E745" s="47"/>
      <c r="F745" s="10"/>
      <c r="G745" s="52"/>
      <c r="H745" s="10"/>
      <c r="I745" s="53"/>
      <c r="J745" s="54"/>
      <c r="K745" s="10"/>
      <c r="L745" s="10"/>
      <c r="M745" s="10"/>
    </row>
    <row r="746" ht="15.75" customHeight="1">
      <c r="A746" s="46"/>
      <c r="B746" s="10"/>
      <c r="C746" s="10"/>
      <c r="D746" s="10"/>
      <c r="E746" s="47"/>
      <c r="F746" s="10"/>
      <c r="G746" s="52"/>
      <c r="H746" s="10"/>
      <c r="I746" s="53"/>
      <c r="J746" s="54"/>
      <c r="K746" s="10"/>
      <c r="L746" s="10"/>
      <c r="M746" s="10"/>
    </row>
    <row r="747" ht="15.75" customHeight="1">
      <c r="A747" s="46"/>
      <c r="B747" s="10"/>
      <c r="C747" s="10"/>
      <c r="D747" s="10"/>
      <c r="E747" s="47"/>
      <c r="F747" s="10"/>
      <c r="G747" s="52"/>
      <c r="H747" s="10"/>
      <c r="I747" s="53"/>
      <c r="J747" s="54"/>
      <c r="K747" s="10"/>
      <c r="L747" s="10"/>
      <c r="M747" s="10"/>
    </row>
    <row r="748" ht="15.75" customHeight="1">
      <c r="A748" s="46"/>
      <c r="B748" s="10"/>
      <c r="C748" s="10"/>
      <c r="D748" s="10"/>
      <c r="E748" s="47"/>
      <c r="F748" s="10"/>
      <c r="G748" s="52"/>
      <c r="H748" s="10"/>
      <c r="I748" s="53"/>
      <c r="J748" s="54"/>
      <c r="K748" s="10"/>
      <c r="L748" s="10"/>
      <c r="M748" s="10"/>
    </row>
    <row r="749" ht="15.75" customHeight="1">
      <c r="A749" s="46"/>
      <c r="B749" s="10"/>
      <c r="C749" s="10"/>
      <c r="D749" s="10"/>
      <c r="E749" s="47"/>
      <c r="F749" s="10"/>
      <c r="G749" s="52"/>
      <c r="H749" s="10"/>
      <c r="I749" s="53"/>
      <c r="J749" s="54"/>
      <c r="K749" s="10"/>
      <c r="L749" s="10"/>
      <c r="M749" s="10"/>
    </row>
    <row r="750" ht="15.75" customHeight="1">
      <c r="A750" s="46"/>
      <c r="B750" s="10"/>
      <c r="C750" s="10"/>
      <c r="D750" s="10"/>
      <c r="E750" s="47"/>
      <c r="F750" s="10"/>
      <c r="G750" s="52"/>
      <c r="H750" s="10"/>
      <c r="I750" s="53"/>
      <c r="J750" s="54"/>
      <c r="K750" s="10"/>
      <c r="L750" s="10"/>
      <c r="M750" s="10"/>
    </row>
    <row r="751" ht="15.75" customHeight="1">
      <c r="A751" s="46"/>
      <c r="B751" s="10"/>
      <c r="C751" s="10"/>
      <c r="D751" s="10"/>
      <c r="E751" s="47"/>
      <c r="F751" s="10"/>
      <c r="G751" s="52"/>
      <c r="H751" s="10"/>
      <c r="I751" s="53"/>
      <c r="J751" s="54"/>
      <c r="K751" s="10"/>
      <c r="L751" s="10"/>
      <c r="M751" s="10"/>
    </row>
    <row r="752" ht="15.75" customHeight="1">
      <c r="A752" s="46"/>
      <c r="B752" s="10"/>
      <c r="C752" s="10"/>
      <c r="D752" s="10"/>
      <c r="E752" s="47"/>
      <c r="F752" s="10"/>
      <c r="G752" s="52"/>
      <c r="H752" s="10"/>
      <c r="I752" s="53"/>
      <c r="J752" s="54"/>
      <c r="K752" s="10"/>
      <c r="L752" s="10"/>
      <c r="M752" s="10"/>
    </row>
    <row r="753" ht="15.75" customHeight="1">
      <c r="A753" s="46"/>
      <c r="B753" s="10"/>
      <c r="C753" s="10"/>
      <c r="D753" s="10"/>
      <c r="E753" s="47"/>
      <c r="F753" s="10"/>
      <c r="G753" s="52"/>
      <c r="H753" s="10"/>
      <c r="I753" s="53"/>
      <c r="J753" s="54"/>
      <c r="K753" s="10"/>
      <c r="L753" s="10"/>
      <c r="M753" s="10"/>
    </row>
    <row r="754" ht="15.75" customHeight="1">
      <c r="A754" s="46"/>
      <c r="B754" s="10"/>
      <c r="C754" s="10"/>
      <c r="D754" s="10"/>
      <c r="E754" s="47"/>
      <c r="F754" s="10"/>
      <c r="G754" s="52"/>
      <c r="H754" s="10"/>
      <c r="I754" s="53"/>
      <c r="J754" s="54"/>
      <c r="K754" s="10"/>
      <c r="L754" s="10"/>
      <c r="M754" s="10"/>
    </row>
    <row r="755" ht="15.75" customHeight="1">
      <c r="A755" s="46"/>
      <c r="B755" s="10"/>
      <c r="C755" s="10"/>
      <c r="D755" s="10"/>
      <c r="E755" s="47"/>
      <c r="F755" s="10"/>
      <c r="G755" s="52"/>
      <c r="H755" s="10"/>
      <c r="I755" s="53"/>
      <c r="J755" s="54"/>
      <c r="K755" s="10"/>
      <c r="L755" s="10"/>
      <c r="M755" s="10"/>
    </row>
    <row r="756" ht="15.75" customHeight="1">
      <c r="A756" s="46"/>
      <c r="B756" s="10"/>
      <c r="C756" s="10"/>
      <c r="D756" s="10"/>
      <c r="E756" s="47"/>
      <c r="F756" s="10"/>
      <c r="G756" s="52"/>
      <c r="H756" s="10"/>
      <c r="I756" s="53"/>
      <c r="J756" s="54"/>
      <c r="K756" s="10"/>
      <c r="L756" s="10"/>
      <c r="M756" s="10"/>
    </row>
    <row r="757" ht="15.75" customHeight="1">
      <c r="A757" s="46"/>
      <c r="B757" s="10"/>
      <c r="C757" s="10"/>
      <c r="D757" s="10"/>
      <c r="E757" s="47"/>
      <c r="F757" s="10"/>
      <c r="G757" s="52"/>
      <c r="H757" s="10"/>
      <c r="I757" s="53"/>
      <c r="J757" s="54"/>
      <c r="K757" s="10"/>
      <c r="L757" s="10"/>
      <c r="M757" s="10"/>
    </row>
    <row r="758" ht="15.75" customHeight="1">
      <c r="A758" s="46"/>
      <c r="B758" s="10"/>
      <c r="C758" s="10"/>
      <c r="D758" s="10"/>
      <c r="E758" s="47"/>
      <c r="F758" s="10"/>
      <c r="G758" s="52"/>
      <c r="H758" s="10"/>
      <c r="I758" s="53"/>
      <c r="J758" s="54"/>
      <c r="K758" s="10"/>
      <c r="L758" s="10"/>
      <c r="M758" s="10"/>
    </row>
    <row r="759" ht="15.75" customHeight="1">
      <c r="A759" s="46"/>
      <c r="B759" s="10"/>
      <c r="C759" s="10"/>
      <c r="D759" s="10"/>
      <c r="E759" s="47"/>
      <c r="F759" s="10"/>
      <c r="G759" s="52"/>
      <c r="H759" s="10"/>
      <c r="I759" s="53"/>
      <c r="J759" s="54"/>
      <c r="K759" s="10"/>
      <c r="L759" s="10"/>
      <c r="M759" s="10"/>
    </row>
    <row r="760" ht="15.75" customHeight="1">
      <c r="A760" s="46"/>
      <c r="B760" s="10"/>
      <c r="C760" s="10"/>
      <c r="D760" s="10"/>
      <c r="E760" s="47"/>
      <c r="F760" s="10"/>
      <c r="G760" s="52"/>
      <c r="H760" s="10"/>
      <c r="I760" s="53"/>
      <c r="J760" s="54"/>
      <c r="K760" s="10"/>
      <c r="L760" s="10"/>
      <c r="M760" s="10"/>
    </row>
    <row r="761" ht="15.75" customHeight="1">
      <c r="A761" s="46"/>
      <c r="B761" s="10"/>
      <c r="C761" s="10"/>
      <c r="D761" s="10"/>
      <c r="E761" s="47"/>
      <c r="F761" s="10"/>
      <c r="G761" s="52"/>
      <c r="H761" s="10"/>
      <c r="I761" s="53"/>
      <c r="J761" s="54"/>
      <c r="K761" s="10"/>
      <c r="L761" s="10"/>
      <c r="M761" s="10"/>
    </row>
    <row r="762" ht="15.75" customHeight="1">
      <c r="A762" s="46"/>
      <c r="B762" s="10"/>
      <c r="C762" s="10"/>
      <c r="D762" s="10"/>
      <c r="E762" s="47"/>
      <c r="F762" s="10"/>
      <c r="G762" s="52"/>
      <c r="H762" s="10"/>
      <c r="I762" s="53"/>
      <c r="J762" s="54"/>
      <c r="K762" s="10"/>
      <c r="L762" s="10"/>
      <c r="M762" s="10"/>
    </row>
    <row r="763" ht="15.75" customHeight="1">
      <c r="A763" s="46"/>
      <c r="B763" s="10"/>
      <c r="C763" s="10"/>
      <c r="D763" s="10"/>
      <c r="E763" s="47"/>
      <c r="F763" s="10"/>
      <c r="G763" s="52"/>
      <c r="H763" s="10"/>
      <c r="I763" s="53"/>
      <c r="J763" s="54"/>
      <c r="K763" s="10"/>
      <c r="L763" s="10"/>
      <c r="M763" s="10"/>
    </row>
    <row r="764" ht="15.75" customHeight="1">
      <c r="A764" s="46"/>
      <c r="B764" s="10"/>
      <c r="C764" s="10"/>
      <c r="D764" s="10"/>
      <c r="E764" s="47"/>
      <c r="F764" s="10"/>
      <c r="G764" s="52"/>
      <c r="H764" s="10"/>
      <c r="I764" s="53"/>
      <c r="J764" s="54"/>
      <c r="K764" s="10"/>
      <c r="L764" s="10"/>
      <c r="M764" s="10"/>
    </row>
    <row r="765" ht="15.75" customHeight="1">
      <c r="A765" s="46"/>
      <c r="B765" s="10"/>
      <c r="C765" s="10"/>
      <c r="D765" s="10"/>
      <c r="E765" s="47"/>
      <c r="F765" s="10"/>
      <c r="G765" s="52"/>
      <c r="H765" s="10"/>
      <c r="I765" s="53"/>
      <c r="J765" s="54"/>
      <c r="K765" s="10"/>
      <c r="L765" s="10"/>
      <c r="M765" s="10"/>
    </row>
    <row r="766" ht="15.75" customHeight="1">
      <c r="A766" s="46"/>
      <c r="B766" s="10"/>
      <c r="C766" s="10"/>
      <c r="D766" s="10"/>
      <c r="E766" s="47"/>
      <c r="F766" s="10"/>
      <c r="G766" s="52"/>
      <c r="H766" s="10"/>
      <c r="I766" s="53"/>
      <c r="J766" s="54"/>
      <c r="K766" s="10"/>
      <c r="L766" s="10"/>
      <c r="M766" s="10"/>
    </row>
    <row r="767" ht="15.75" customHeight="1">
      <c r="A767" s="46"/>
      <c r="B767" s="10"/>
      <c r="C767" s="10"/>
      <c r="D767" s="10"/>
      <c r="E767" s="47"/>
      <c r="F767" s="10"/>
      <c r="G767" s="52"/>
      <c r="H767" s="10"/>
      <c r="I767" s="53"/>
      <c r="J767" s="54"/>
      <c r="K767" s="10"/>
      <c r="L767" s="10"/>
      <c r="M767" s="10"/>
    </row>
    <row r="768" ht="15.75" customHeight="1">
      <c r="A768" s="46"/>
      <c r="B768" s="10"/>
      <c r="C768" s="10"/>
      <c r="D768" s="10"/>
      <c r="E768" s="47"/>
      <c r="F768" s="10"/>
      <c r="G768" s="52"/>
      <c r="H768" s="10"/>
      <c r="I768" s="53"/>
      <c r="J768" s="54"/>
      <c r="K768" s="10"/>
      <c r="L768" s="10"/>
      <c r="M768" s="10"/>
    </row>
    <row r="769" ht="15.75" customHeight="1">
      <c r="A769" s="46"/>
      <c r="B769" s="10"/>
      <c r="C769" s="10"/>
      <c r="D769" s="10"/>
      <c r="E769" s="47"/>
      <c r="F769" s="10"/>
      <c r="G769" s="52"/>
      <c r="H769" s="10"/>
      <c r="I769" s="53"/>
      <c r="J769" s="54"/>
      <c r="K769" s="10"/>
      <c r="L769" s="10"/>
      <c r="M769" s="10"/>
    </row>
    <row r="770" ht="15.75" customHeight="1">
      <c r="A770" s="46"/>
      <c r="B770" s="10"/>
      <c r="C770" s="10"/>
      <c r="D770" s="10"/>
      <c r="E770" s="47"/>
      <c r="F770" s="10"/>
      <c r="G770" s="52"/>
      <c r="H770" s="10"/>
      <c r="I770" s="53"/>
      <c r="J770" s="54"/>
      <c r="K770" s="10"/>
      <c r="L770" s="10"/>
      <c r="M770" s="10"/>
    </row>
    <row r="771" ht="15.75" customHeight="1">
      <c r="A771" s="46"/>
      <c r="B771" s="10"/>
      <c r="C771" s="10"/>
      <c r="D771" s="10"/>
      <c r="E771" s="47"/>
      <c r="F771" s="10"/>
      <c r="G771" s="52"/>
      <c r="H771" s="10"/>
      <c r="I771" s="53"/>
      <c r="J771" s="54"/>
      <c r="K771" s="10"/>
      <c r="L771" s="10"/>
      <c r="M771" s="10"/>
    </row>
    <row r="772" ht="15.75" customHeight="1">
      <c r="A772" s="46"/>
      <c r="B772" s="10"/>
      <c r="C772" s="10"/>
      <c r="D772" s="10"/>
      <c r="E772" s="47"/>
      <c r="F772" s="10"/>
      <c r="G772" s="52"/>
      <c r="H772" s="10"/>
      <c r="I772" s="53"/>
      <c r="J772" s="54"/>
      <c r="K772" s="10"/>
      <c r="L772" s="10"/>
      <c r="M772" s="10"/>
    </row>
    <row r="773" ht="15.75" customHeight="1">
      <c r="A773" s="46"/>
      <c r="B773" s="10"/>
      <c r="C773" s="10"/>
      <c r="D773" s="10"/>
      <c r="E773" s="47"/>
      <c r="F773" s="10"/>
      <c r="G773" s="52"/>
      <c r="H773" s="10"/>
      <c r="I773" s="53"/>
      <c r="J773" s="54"/>
      <c r="K773" s="10"/>
      <c r="L773" s="10"/>
      <c r="M773" s="10"/>
    </row>
    <row r="774" ht="15.75" customHeight="1">
      <c r="A774" s="46"/>
      <c r="B774" s="10"/>
      <c r="C774" s="10"/>
      <c r="D774" s="10"/>
      <c r="E774" s="47"/>
      <c r="F774" s="10"/>
      <c r="G774" s="52"/>
      <c r="H774" s="10"/>
      <c r="I774" s="53"/>
      <c r="J774" s="54"/>
      <c r="K774" s="10"/>
      <c r="L774" s="10"/>
      <c r="M774" s="10"/>
    </row>
    <row r="775" ht="15.75" customHeight="1">
      <c r="A775" s="46"/>
      <c r="B775" s="10"/>
      <c r="C775" s="10"/>
      <c r="D775" s="10"/>
      <c r="E775" s="47"/>
      <c r="F775" s="10"/>
      <c r="G775" s="52"/>
      <c r="H775" s="10"/>
      <c r="I775" s="53"/>
      <c r="J775" s="54"/>
      <c r="K775" s="10"/>
      <c r="L775" s="10"/>
      <c r="M775" s="10"/>
    </row>
    <row r="776" ht="15.75" customHeight="1">
      <c r="A776" s="46"/>
      <c r="B776" s="10"/>
      <c r="C776" s="10"/>
      <c r="D776" s="10"/>
      <c r="E776" s="47"/>
      <c r="F776" s="10"/>
      <c r="G776" s="52"/>
      <c r="H776" s="10"/>
      <c r="I776" s="53"/>
      <c r="J776" s="54"/>
      <c r="K776" s="10"/>
      <c r="L776" s="10"/>
      <c r="M776" s="10"/>
    </row>
    <row r="777" ht="15.75" customHeight="1">
      <c r="A777" s="46"/>
      <c r="B777" s="10"/>
      <c r="C777" s="10"/>
      <c r="D777" s="10"/>
      <c r="E777" s="47"/>
      <c r="F777" s="10"/>
      <c r="G777" s="52"/>
      <c r="H777" s="10"/>
      <c r="I777" s="53"/>
      <c r="J777" s="54"/>
      <c r="K777" s="10"/>
      <c r="L777" s="10"/>
      <c r="M777" s="10"/>
    </row>
    <row r="778" ht="15.75" customHeight="1">
      <c r="A778" s="46"/>
      <c r="B778" s="10"/>
      <c r="C778" s="10"/>
      <c r="D778" s="10"/>
      <c r="E778" s="47"/>
      <c r="F778" s="10"/>
      <c r="G778" s="52"/>
      <c r="H778" s="10"/>
      <c r="I778" s="53"/>
      <c r="J778" s="54"/>
      <c r="K778" s="10"/>
      <c r="L778" s="10"/>
      <c r="M778" s="10"/>
    </row>
    <row r="779" ht="15.75" customHeight="1">
      <c r="A779" s="46"/>
      <c r="B779" s="10"/>
      <c r="C779" s="10"/>
      <c r="D779" s="10"/>
      <c r="E779" s="47"/>
      <c r="F779" s="10"/>
      <c r="G779" s="52"/>
      <c r="H779" s="10"/>
      <c r="I779" s="53"/>
      <c r="J779" s="54"/>
      <c r="K779" s="10"/>
      <c r="L779" s="10"/>
      <c r="M779" s="10"/>
    </row>
    <row r="780" ht="15.75" customHeight="1">
      <c r="A780" s="46"/>
      <c r="B780" s="10"/>
      <c r="C780" s="10"/>
      <c r="D780" s="10"/>
      <c r="E780" s="47"/>
      <c r="F780" s="10"/>
      <c r="G780" s="52"/>
      <c r="H780" s="10"/>
      <c r="I780" s="53"/>
      <c r="J780" s="54"/>
      <c r="K780" s="10"/>
      <c r="L780" s="10"/>
      <c r="M780" s="10"/>
    </row>
    <row r="781" ht="15.75" customHeight="1">
      <c r="A781" s="46"/>
      <c r="B781" s="10"/>
      <c r="C781" s="10"/>
      <c r="D781" s="10"/>
      <c r="E781" s="47"/>
      <c r="F781" s="10"/>
      <c r="G781" s="52"/>
      <c r="H781" s="10"/>
      <c r="I781" s="53"/>
      <c r="J781" s="54"/>
      <c r="K781" s="10"/>
      <c r="L781" s="10"/>
      <c r="M781" s="10"/>
    </row>
    <row r="782" ht="15.75" customHeight="1">
      <c r="A782" s="46"/>
      <c r="B782" s="10"/>
      <c r="C782" s="10"/>
      <c r="D782" s="10"/>
      <c r="E782" s="47"/>
      <c r="F782" s="10"/>
      <c r="G782" s="52"/>
      <c r="H782" s="10"/>
      <c r="I782" s="53"/>
      <c r="J782" s="54"/>
      <c r="K782" s="10"/>
      <c r="L782" s="10"/>
      <c r="M782" s="10"/>
    </row>
    <row r="783" ht="15.75" customHeight="1">
      <c r="A783" s="46"/>
      <c r="B783" s="10"/>
      <c r="C783" s="10"/>
      <c r="D783" s="10"/>
      <c r="E783" s="47"/>
      <c r="F783" s="10"/>
      <c r="G783" s="52"/>
      <c r="H783" s="10"/>
      <c r="I783" s="53"/>
      <c r="J783" s="54"/>
      <c r="K783" s="10"/>
      <c r="L783" s="10"/>
      <c r="M783" s="10"/>
    </row>
    <row r="784" ht="15.75" customHeight="1">
      <c r="A784" s="46"/>
      <c r="B784" s="10"/>
      <c r="C784" s="10"/>
      <c r="D784" s="10"/>
      <c r="E784" s="47"/>
      <c r="F784" s="10"/>
      <c r="G784" s="52"/>
      <c r="H784" s="10"/>
      <c r="I784" s="53"/>
      <c r="J784" s="54"/>
      <c r="K784" s="10"/>
      <c r="L784" s="10"/>
      <c r="M784" s="10"/>
    </row>
    <row r="785" ht="15.75" customHeight="1">
      <c r="A785" s="46"/>
      <c r="B785" s="10"/>
      <c r="C785" s="10"/>
      <c r="D785" s="10"/>
      <c r="E785" s="47"/>
      <c r="F785" s="10"/>
      <c r="G785" s="52"/>
      <c r="H785" s="10"/>
      <c r="I785" s="53"/>
      <c r="J785" s="54"/>
      <c r="K785" s="10"/>
      <c r="L785" s="10"/>
      <c r="M785" s="10"/>
    </row>
    <row r="786" ht="15.75" customHeight="1">
      <c r="A786" s="46"/>
      <c r="B786" s="10"/>
      <c r="C786" s="10"/>
      <c r="D786" s="10"/>
      <c r="E786" s="47"/>
      <c r="F786" s="10"/>
      <c r="G786" s="52"/>
      <c r="H786" s="10"/>
      <c r="I786" s="53"/>
      <c r="J786" s="54"/>
      <c r="K786" s="10"/>
      <c r="L786" s="10"/>
      <c r="M786" s="10"/>
    </row>
    <row r="787" ht="15.75" customHeight="1">
      <c r="A787" s="46"/>
      <c r="B787" s="10"/>
      <c r="C787" s="10"/>
      <c r="D787" s="10"/>
      <c r="E787" s="47"/>
      <c r="F787" s="10"/>
      <c r="G787" s="52"/>
      <c r="H787" s="10"/>
      <c r="I787" s="53"/>
      <c r="J787" s="54"/>
      <c r="K787" s="10"/>
      <c r="L787" s="10"/>
      <c r="M787" s="10"/>
    </row>
    <row r="788" ht="15.75" customHeight="1">
      <c r="A788" s="46"/>
      <c r="B788" s="10"/>
      <c r="C788" s="10"/>
      <c r="D788" s="10"/>
      <c r="E788" s="47"/>
      <c r="F788" s="10"/>
      <c r="G788" s="52"/>
      <c r="H788" s="10"/>
      <c r="I788" s="53"/>
      <c r="J788" s="54"/>
      <c r="K788" s="10"/>
      <c r="L788" s="10"/>
      <c r="M788" s="10"/>
    </row>
    <row r="789" ht="15.75" customHeight="1">
      <c r="A789" s="46"/>
      <c r="B789" s="10"/>
      <c r="C789" s="10"/>
      <c r="D789" s="10"/>
      <c r="E789" s="47"/>
      <c r="F789" s="10"/>
      <c r="G789" s="52"/>
      <c r="H789" s="10"/>
      <c r="I789" s="53"/>
      <c r="J789" s="54"/>
      <c r="K789" s="10"/>
      <c r="L789" s="10"/>
      <c r="M789" s="10"/>
    </row>
    <row r="790" ht="15.75" customHeight="1">
      <c r="A790" s="46"/>
      <c r="B790" s="10"/>
      <c r="C790" s="10"/>
      <c r="D790" s="10"/>
      <c r="E790" s="47"/>
      <c r="F790" s="10"/>
      <c r="G790" s="52"/>
      <c r="H790" s="10"/>
      <c r="I790" s="53"/>
      <c r="J790" s="54"/>
      <c r="K790" s="10"/>
      <c r="L790" s="10"/>
      <c r="M790" s="10"/>
    </row>
    <row r="791" ht="15.75" customHeight="1">
      <c r="A791" s="46"/>
      <c r="B791" s="10"/>
      <c r="C791" s="10"/>
      <c r="D791" s="10"/>
      <c r="E791" s="47"/>
      <c r="F791" s="10"/>
      <c r="G791" s="52"/>
      <c r="H791" s="10"/>
      <c r="I791" s="53"/>
      <c r="J791" s="54"/>
      <c r="K791" s="10"/>
      <c r="L791" s="10"/>
      <c r="M791" s="10"/>
    </row>
    <row r="792" ht="15.75" customHeight="1">
      <c r="A792" s="46"/>
      <c r="B792" s="10"/>
      <c r="C792" s="10"/>
      <c r="D792" s="10"/>
      <c r="E792" s="47"/>
      <c r="F792" s="10"/>
      <c r="G792" s="52"/>
      <c r="H792" s="10"/>
      <c r="I792" s="53"/>
      <c r="J792" s="54"/>
      <c r="K792" s="10"/>
      <c r="L792" s="10"/>
      <c r="M792" s="10"/>
    </row>
    <row r="793" ht="15.75" customHeight="1">
      <c r="A793" s="46"/>
      <c r="B793" s="10"/>
      <c r="C793" s="10"/>
      <c r="D793" s="10"/>
      <c r="E793" s="47"/>
      <c r="F793" s="10"/>
      <c r="G793" s="52"/>
      <c r="H793" s="10"/>
      <c r="I793" s="53"/>
      <c r="J793" s="54"/>
      <c r="K793" s="10"/>
      <c r="L793" s="10"/>
      <c r="M793" s="10"/>
    </row>
    <row r="794" ht="15.75" customHeight="1">
      <c r="A794" s="46"/>
      <c r="B794" s="10"/>
      <c r="C794" s="10"/>
      <c r="D794" s="10"/>
      <c r="E794" s="47"/>
      <c r="F794" s="10"/>
      <c r="G794" s="52"/>
      <c r="H794" s="10"/>
      <c r="I794" s="53"/>
      <c r="J794" s="54"/>
      <c r="K794" s="10"/>
      <c r="L794" s="10"/>
      <c r="M794" s="10"/>
    </row>
    <row r="795" ht="15.75" customHeight="1">
      <c r="A795" s="46"/>
      <c r="B795" s="10"/>
      <c r="C795" s="10"/>
      <c r="D795" s="10"/>
      <c r="E795" s="47"/>
      <c r="F795" s="10"/>
      <c r="G795" s="52"/>
      <c r="H795" s="10"/>
      <c r="I795" s="53"/>
      <c r="J795" s="54"/>
      <c r="K795" s="10"/>
      <c r="L795" s="10"/>
      <c r="M795" s="10"/>
    </row>
    <row r="796" ht="15.75" customHeight="1">
      <c r="A796" s="46"/>
      <c r="B796" s="10"/>
      <c r="C796" s="10"/>
      <c r="D796" s="10"/>
      <c r="E796" s="47"/>
      <c r="F796" s="10"/>
      <c r="G796" s="52"/>
      <c r="H796" s="10"/>
      <c r="I796" s="53"/>
      <c r="J796" s="54"/>
      <c r="K796" s="10"/>
      <c r="L796" s="10"/>
      <c r="M796" s="10"/>
    </row>
    <row r="797" ht="15.75" customHeight="1">
      <c r="A797" s="46"/>
      <c r="B797" s="10"/>
      <c r="C797" s="10"/>
      <c r="D797" s="10"/>
      <c r="E797" s="47"/>
      <c r="F797" s="10"/>
      <c r="G797" s="52"/>
      <c r="H797" s="10"/>
      <c r="I797" s="53"/>
      <c r="J797" s="54"/>
      <c r="K797" s="10"/>
      <c r="L797" s="10"/>
      <c r="M797" s="10"/>
    </row>
    <row r="798" ht="15.75" customHeight="1">
      <c r="A798" s="46"/>
      <c r="B798" s="10"/>
      <c r="C798" s="10"/>
      <c r="D798" s="10"/>
      <c r="E798" s="47"/>
      <c r="F798" s="10"/>
      <c r="G798" s="52"/>
      <c r="H798" s="10"/>
      <c r="I798" s="53"/>
      <c r="J798" s="54"/>
      <c r="K798" s="10"/>
      <c r="L798" s="10"/>
      <c r="M798" s="10"/>
    </row>
    <row r="799" ht="15.75" customHeight="1">
      <c r="A799" s="46"/>
      <c r="B799" s="10"/>
      <c r="C799" s="10"/>
      <c r="D799" s="10"/>
      <c r="E799" s="47"/>
      <c r="F799" s="10"/>
      <c r="G799" s="52"/>
      <c r="H799" s="10"/>
      <c r="I799" s="53"/>
      <c r="J799" s="54"/>
      <c r="K799" s="10"/>
      <c r="L799" s="10"/>
      <c r="M799" s="10"/>
    </row>
    <row r="800" ht="15.75" customHeight="1">
      <c r="A800" s="46"/>
      <c r="B800" s="10"/>
      <c r="C800" s="10"/>
      <c r="D800" s="10"/>
      <c r="E800" s="47"/>
      <c r="F800" s="10"/>
      <c r="G800" s="52"/>
      <c r="H800" s="10"/>
      <c r="I800" s="53"/>
      <c r="J800" s="54"/>
      <c r="K800" s="10"/>
      <c r="L800" s="10"/>
      <c r="M800" s="10"/>
    </row>
    <row r="801" ht="15.75" customHeight="1">
      <c r="A801" s="46"/>
      <c r="B801" s="10"/>
      <c r="C801" s="10"/>
      <c r="D801" s="10"/>
      <c r="E801" s="47"/>
      <c r="F801" s="10"/>
      <c r="G801" s="52"/>
      <c r="H801" s="10"/>
      <c r="I801" s="53"/>
      <c r="J801" s="54"/>
      <c r="K801" s="10"/>
      <c r="L801" s="10"/>
      <c r="M801" s="10"/>
    </row>
    <row r="802" ht="15.75" customHeight="1">
      <c r="A802" s="46"/>
      <c r="B802" s="10"/>
      <c r="C802" s="10"/>
      <c r="D802" s="10"/>
      <c r="E802" s="47"/>
      <c r="F802" s="10"/>
      <c r="G802" s="52"/>
      <c r="H802" s="10"/>
      <c r="I802" s="53"/>
      <c r="J802" s="54"/>
      <c r="K802" s="10"/>
      <c r="L802" s="10"/>
      <c r="M802" s="10"/>
    </row>
    <row r="803" ht="15.75" customHeight="1">
      <c r="A803" s="46"/>
      <c r="B803" s="10"/>
      <c r="C803" s="10"/>
      <c r="D803" s="10"/>
      <c r="E803" s="47"/>
      <c r="F803" s="10"/>
      <c r="G803" s="52"/>
      <c r="H803" s="10"/>
      <c r="I803" s="53"/>
      <c r="J803" s="54"/>
      <c r="K803" s="10"/>
      <c r="L803" s="10"/>
      <c r="M803" s="10"/>
    </row>
    <row r="804" ht="15.75" customHeight="1">
      <c r="A804" s="46"/>
      <c r="B804" s="10"/>
      <c r="C804" s="10"/>
      <c r="D804" s="10"/>
      <c r="E804" s="47"/>
      <c r="F804" s="10"/>
      <c r="G804" s="52"/>
      <c r="H804" s="10"/>
      <c r="I804" s="53"/>
      <c r="J804" s="54"/>
      <c r="K804" s="10"/>
      <c r="L804" s="10"/>
      <c r="M804" s="10"/>
    </row>
    <row r="805" ht="15.75" customHeight="1">
      <c r="A805" s="46"/>
      <c r="B805" s="10"/>
      <c r="C805" s="10"/>
      <c r="D805" s="10"/>
      <c r="E805" s="47"/>
      <c r="F805" s="10"/>
      <c r="G805" s="52"/>
      <c r="H805" s="10"/>
      <c r="I805" s="53"/>
      <c r="J805" s="54"/>
      <c r="K805" s="10"/>
      <c r="L805" s="10"/>
      <c r="M805" s="10"/>
    </row>
    <row r="806" ht="15.75" customHeight="1">
      <c r="A806" s="46"/>
      <c r="B806" s="10"/>
      <c r="C806" s="10"/>
      <c r="D806" s="10"/>
      <c r="E806" s="47"/>
      <c r="F806" s="10"/>
      <c r="G806" s="52"/>
      <c r="H806" s="10"/>
      <c r="I806" s="53"/>
      <c r="J806" s="54"/>
      <c r="K806" s="10"/>
      <c r="L806" s="10"/>
      <c r="M806" s="10"/>
    </row>
    <row r="807" ht="15.75" customHeight="1">
      <c r="A807" s="46"/>
      <c r="B807" s="10"/>
      <c r="C807" s="10"/>
      <c r="D807" s="10"/>
      <c r="E807" s="47"/>
      <c r="F807" s="10"/>
      <c r="G807" s="52"/>
      <c r="H807" s="10"/>
      <c r="I807" s="53"/>
      <c r="J807" s="54"/>
      <c r="K807" s="10"/>
      <c r="L807" s="10"/>
      <c r="M807" s="10"/>
    </row>
    <row r="808" ht="15.75" customHeight="1">
      <c r="A808" s="46"/>
      <c r="B808" s="10"/>
      <c r="C808" s="10"/>
      <c r="D808" s="10"/>
      <c r="E808" s="47"/>
      <c r="F808" s="10"/>
      <c r="G808" s="52"/>
      <c r="H808" s="10"/>
      <c r="I808" s="53"/>
      <c r="J808" s="54"/>
      <c r="K808" s="10"/>
      <c r="L808" s="10"/>
      <c r="M808" s="10"/>
    </row>
    <row r="809" ht="15.75" customHeight="1">
      <c r="A809" s="46"/>
      <c r="B809" s="10"/>
      <c r="C809" s="10"/>
      <c r="D809" s="10"/>
      <c r="E809" s="47"/>
      <c r="F809" s="10"/>
      <c r="G809" s="52"/>
      <c r="H809" s="10"/>
      <c r="I809" s="53"/>
      <c r="J809" s="54"/>
      <c r="K809" s="10"/>
      <c r="L809" s="10"/>
      <c r="M809" s="10"/>
    </row>
    <row r="810" ht="15.75" customHeight="1">
      <c r="A810" s="46"/>
      <c r="B810" s="10"/>
      <c r="C810" s="10"/>
      <c r="D810" s="10"/>
      <c r="E810" s="47"/>
      <c r="F810" s="10"/>
      <c r="G810" s="52"/>
      <c r="H810" s="10"/>
      <c r="I810" s="53"/>
      <c r="J810" s="54"/>
      <c r="K810" s="10"/>
      <c r="L810" s="10"/>
      <c r="M810" s="10"/>
    </row>
    <row r="811" ht="15.75" customHeight="1">
      <c r="A811" s="46"/>
      <c r="B811" s="10"/>
      <c r="C811" s="10"/>
      <c r="D811" s="10"/>
      <c r="E811" s="47"/>
      <c r="F811" s="10"/>
      <c r="G811" s="52"/>
      <c r="H811" s="10"/>
      <c r="I811" s="53"/>
      <c r="J811" s="54"/>
      <c r="K811" s="10"/>
      <c r="L811" s="10"/>
      <c r="M811" s="10"/>
    </row>
    <row r="812" ht="15.75" customHeight="1">
      <c r="A812" s="46"/>
      <c r="B812" s="10"/>
      <c r="C812" s="10"/>
      <c r="D812" s="10"/>
      <c r="E812" s="47"/>
      <c r="F812" s="10"/>
      <c r="G812" s="52"/>
      <c r="H812" s="10"/>
      <c r="I812" s="53"/>
      <c r="J812" s="54"/>
      <c r="K812" s="10"/>
      <c r="L812" s="10"/>
      <c r="M812" s="10"/>
    </row>
    <row r="813" ht="15.75" customHeight="1">
      <c r="A813" s="46"/>
      <c r="B813" s="10"/>
      <c r="C813" s="10"/>
      <c r="D813" s="10"/>
      <c r="E813" s="47"/>
      <c r="F813" s="10"/>
      <c r="G813" s="52"/>
      <c r="H813" s="10"/>
      <c r="I813" s="53"/>
      <c r="J813" s="54"/>
      <c r="K813" s="10"/>
      <c r="L813" s="10"/>
      <c r="M813" s="10"/>
    </row>
    <row r="814" ht="15.75" customHeight="1">
      <c r="A814" s="46"/>
      <c r="B814" s="10"/>
      <c r="C814" s="10"/>
      <c r="D814" s="10"/>
      <c r="E814" s="47"/>
      <c r="F814" s="10"/>
      <c r="G814" s="52"/>
      <c r="H814" s="10"/>
      <c r="I814" s="53"/>
      <c r="J814" s="54"/>
      <c r="K814" s="10"/>
      <c r="L814" s="10"/>
      <c r="M814" s="10"/>
    </row>
    <row r="815" ht="15.75" customHeight="1">
      <c r="A815" s="46"/>
      <c r="B815" s="10"/>
      <c r="C815" s="10"/>
      <c r="D815" s="10"/>
      <c r="E815" s="47"/>
      <c r="F815" s="10"/>
      <c r="G815" s="52"/>
      <c r="H815" s="10"/>
      <c r="I815" s="53"/>
      <c r="J815" s="54"/>
      <c r="K815" s="10"/>
      <c r="L815" s="10"/>
      <c r="M815" s="10"/>
    </row>
    <row r="816" ht="15.75" customHeight="1">
      <c r="A816" s="46"/>
      <c r="B816" s="10"/>
      <c r="C816" s="10"/>
      <c r="D816" s="10"/>
      <c r="E816" s="47"/>
      <c r="F816" s="10"/>
      <c r="G816" s="52"/>
      <c r="H816" s="10"/>
      <c r="I816" s="53"/>
      <c r="J816" s="54"/>
      <c r="K816" s="10"/>
      <c r="L816" s="10"/>
      <c r="M816" s="10"/>
    </row>
    <row r="817" ht="15.75" customHeight="1">
      <c r="A817" s="46"/>
      <c r="B817" s="10"/>
      <c r="C817" s="10"/>
      <c r="D817" s="10"/>
      <c r="E817" s="47"/>
      <c r="F817" s="10"/>
      <c r="G817" s="52"/>
      <c r="H817" s="10"/>
      <c r="I817" s="53"/>
      <c r="J817" s="54"/>
      <c r="K817" s="10"/>
      <c r="L817" s="10"/>
      <c r="M817" s="10"/>
    </row>
    <row r="818" ht="15.75" customHeight="1">
      <c r="A818" s="46"/>
      <c r="B818" s="10"/>
      <c r="C818" s="10"/>
      <c r="D818" s="10"/>
      <c r="E818" s="47"/>
      <c r="F818" s="10"/>
      <c r="G818" s="52"/>
      <c r="H818" s="10"/>
      <c r="I818" s="53"/>
      <c r="J818" s="54"/>
      <c r="K818" s="10"/>
      <c r="L818" s="10"/>
      <c r="M818" s="10"/>
    </row>
    <row r="819" ht="15.75" customHeight="1">
      <c r="A819" s="46"/>
      <c r="B819" s="10"/>
      <c r="C819" s="10"/>
      <c r="D819" s="10"/>
      <c r="E819" s="47"/>
      <c r="F819" s="10"/>
      <c r="G819" s="52"/>
      <c r="H819" s="10"/>
      <c r="I819" s="53"/>
      <c r="J819" s="54"/>
      <c r="K819" s="10"/>
      <c r="L819" s="10"/>
      <c r="M819" s="10"/>
    </row>
    <row r="820" ht="15.75" customHeight="1">
      <c r="A820" s="46"/>
      <c r="B820" s="10"/>
      <c r="C820" s="10"/>
      <c r="D820" s="10"/>
      <c r="E820" s="47"/>
      <c r="F820" s="10"/>
      <c r="G820" s="52"/>
      <c r="H820" s="10"/>
      <c r="I820" s="53"/>
      <c r="J820" s="54"/>
      <c r="K820" s="10"/>
      <c r="L820" s="10"/>
      <c r="M820" s="10"/>
    </row>
    <row r="821" ht="15.75" customHeight="1">
      <c r="A821" s="46"/>
      <c r="B821" s="10"/>
      <c r="C821" s="10"/>
      <c r="D821" s="10"/>
      <c r="E821" s="47"/>
      <c r="F821" s="10"/>
      <c r="G821" s="52"/>
      <c r="H821" s="10"/>
      <c r="I821" s="53"/>
      <c r="J821" s="54"/>
      <c r="K821" s="10"/>
      <c r="L821" s="10"/>
      <c r="M821" s="10"/>
    </row>
    <row r="822" ht="15.75" customHeight="1">
      <c r="A822" s="46"/>
      <c r="B822" s="10"/>
      <c r="C822" s="10"/>
      <c r="D822" s="10"/>
      <c r="E822" s="47"/>
      <c r="F822" s="10"/>
      <c r="G822" s="52"/>
      <c r="H822" s="10"/>
      <c r="I822" s="53"/>
      <c r="J822" s="54"/>
      <c r="K822" s="10"/>
      <c r="L822" s="10"/>
      <c r="M822" s="10"/>
    </row>
    <row r="823" ht="15.75" customHeight="1">
      <c r="A823" s="46"/>
      <c r="B823" s="10"/>
      <c r="C823" s="10"/>
      <c r="D823" s="10"/>
      <c r="E823" s="47"/>
      <c r="F823" s="10"/>
      <c r="G823" s="52"/>
      <c r="H823" s="10"/>
      <c r="I823" s="53"/>
      <c r="J823" s="54"/>
      <c r="K823" s="10"/>
      <c r="L823" s="10"/>
      <c r="M823" s="10"/>
    </row>
    <row r="824" ht="15.75" customHeight="1">
      <c r="A824" s="46"/>
      <c r="B824" s="10"/>
      <c r="C824" s="10"/>
      <c r="D824" s="10"/>
      <c r="E824" s="47"/>
      <c r="F824" s="10"/>
      <c r="G824" s="52"/>
      <c r="H824" s="10"/>
      <c r="I824" s="53"/>
      <c r="J824" s="54"/>
      <c r="K824" s="10"/>
      <c r="L824" s="10"/>
      <c r="M824" s="10"/>
    </row>
    <row r="825" ht="15.75" customHeight="1">
      <c r="A825" s="46"/>
      <c r="B825" s="10"/>
      <c r="C825" s="10"/>
      <c r="D825" s="10"/>
      <c r="E825" s="47"/>
      <c r="F825" s="10"/>
      <c r="G825" s="52"/>
      <c r="H825" s="10"/>
      <c r="I825" s="53"/>
      <c r="J825" s="54"/>
      <c r="K825" s="10"/>
      <c r="L825" s="10"/>
      <c r="M825" s="10"/>
    </row>
    <row r="826" ht="15.75" customHeight="1">
      <c r="A826" s="46"/>
      <c r="B826" s="10"/>
      <c r="C826" s="10"/>
      <c r="D826" s="10"/>
      <c r="E826" s="47"/>
      <c r="F826" s="10"/>
      <c r="G826" s="52"/>
      <c r="H826" s="10"/>
      <c r="I826" s="53"/>
      <c r="J826" s="54"/>
      <c r="K826" s="10"/>
      <c r="L826" s="10"/>
      <c r="M826" s="10"/>
    </row>
    <row r="827" ht="15.75" customHeight="1">
      <c r="A827" s="46"/>
      <c r="B827" s="10"/>
      <c r="C827" s="10"/>
      <c r="D827" s="10"/>
      <c r="E827" s="47"/>
      <c r="F827" s="10"/>
      <c r="G827" s="52"/>
      <c r="H827" s="10"/>
      <c r="I827" s="53"/>
      <c r="J827" s="54"/>
      <c r="K827" s="10"/>
      <c r="L827" s="10"/>
      <c r="M827" s="10"/>
    </row>
    <row r="828" ht="15.75" customHeight="1">
      <c r="A828" s="46"/>
      <c r="B828" s="10"/>
      <c r="C828" s="10"/>
      <c r="D828" s="10"/>
      <c r="E828" s="47"/>
      <c r="F828" s="10"/>
      <c r="G828" s="52"/>
      <c r="H828" s="10"/>
      <c r="I828" s="53"/>
      <c r="J828" s="54"/>
      <c r="K828" s="10"/>
      <c r="L828" s="10"/>
      <c r="M828" s="10"/>
    </row>
    <row r="829" ht="15.75" customHeight="1">
      <c r="A829" s="46"/>
      <c r="B829" s="10"/>
      <c r="C829" s="10"/>
      <c r="D829" s="10"/>
      <c r="E829" s="47"/>
      <c r="F829" s="10"/>
      <c r="G829" s="52"/>
      <c r="H829" s="10"/>
      <c r="I829" s="53"/>
      <c r="J829" s="54"/>
      <c r="K829" s="10"/>
      <c r="L829" s="10"/>
      <c r="M829" s="10"/>
    </row>
    <row r="830" ht="15.75" customHeight="1">
      <c r="A830" s="46"/>
      <c r="B830" s="10"/>
      <c r="C830" s="10"/>
      <c r="D830" s="10"/>
      <c r="E830" s="47"/>
      <c r="F830" s="10"/>
      <c r="G830" s="52"/>
      <c r="H830" s="10"/>
      <c r="I830" s="53"/>
      <c r="J830" s="54"/>
      <c r="K830" s="10"/>
      <c r="L830" s="10"/>
      <c r="M830" s="10"/>
    </row>
    <row r="831" ht="15.75" customHeight="1">
      <c r="A831" s="46"/>
      <c r="B831" s="10"/>
      <c r="C831" s="10"/>
      <c r="D831" s="10"/>
      <c r="E831" s="47"/>
      <c r="F831" s="10"/>
      <c r="G831" s="52"/>
      <c r="H831" s="10"/>
      <c r="I831" s="53"/>
      <c r="J831" s="54"/>
      <c r="K831" s="10"/>
      <c r="L831" s="10"/>
      <c r="M831" s="10"/>
    </row>
    <row r="832" ht="15.75" customHeight="1">
      <c r="A832" s="46"/>
      <c r="B832" s="10"/>
      <c r="C832" s="10"/>
      <c r="D832" s="10"/>
      <c r="E832" s="47"/>
      <c r="F832" s="10"/>
      <c r="G832" s="52"/>
      <c r="H832" s="10"/>
      <c r="I832" s="53"/>
      <c r="J832" s="54"/>
      <c r="K832" s="10"/>
      <c r="L832" s="10"/>
      <c r="M832" s="10"/>
    </row>
    <row r="833" ht="15.75" customHeight="1">
      <c r="A833" s="46"/>
      <c r="B833" s="10"/>
      <c r="C833" s="10"/>
      <c r="D833" s="10"/>
      <c r="E833" s="47"/>
      <c r="F833" s="10"/>
      <c r="G833" s="52"/>
      <c r="H833" s="10"/>
      <c r="I833" s="53"/>
      <c r="J833" s="54"/>
      <c r="K833" s="10"/>
      <c r="L833" s="10"/>
      <c r="M833" s="10"/>
    </row>
    <row r="834" ht="15.75" customHeight="1">
      <c r="A834" s="46"/>
      <c r="B834" s="10"/>
      <c r="C834" s="10"/>
      <c r="D834" s="10"/>
      <c r="E834" s="47"/>
      <c r="F834" s="10"/>
      <c r="G834" s="52"/>
      <c r="H834" s="10"/>
      <c r="I834" s="53"/>
      <c r="J834" s="54"/>
      <c r="K834" s="10"/>
      <c r="L834" s="10"/>
      <c r="M834" s="10"/>
    </row>
    <row r="835" ht="15.75" customHeight="1">
      <c r="A835" s="46"/>
      <c r="B835" s="10"/>
      <c r="C835" s="10"/>
      <c r="D835" s="10"/>
      <c r="E835" s="47"/>
      <c r="F835" s="10"/>
      <c r="G835" s="52"/>
      <c r="H835" s="10"/>
      <c r="I835" s="53"/>
      <c r="J835" s="54"/>
      <c r="K835" s="10"/>
      <c r="L835" s="10"/>
      <c r="M835" s="10"/>
    </row>
    <row r="836" ht="15.75" customHeight="1">
      <c r="A836" s="46"/>
      <c r="B836" s="10"/>
      <c r="C836" s="10"/>
      <c r="D836" s="10"/>
      <c r="E836" s="47"/>
      <c r="F836" s="10"/>
      <c r="G836" s="52"/>
      <c r="H836" s="10"/>
      <c r="I836" s="53"/>
      <c r="J836" s="54"/>
      <c r="K836" s="10"/>
      <c r="L836" s="10"/>
      <c r="M836" s="10"/>
    </row>
    <row r="837" ht="15.75" customHeight="1">
      <c r="A837" s="46"/>
      <c r="B837" s="10"/>
      <c r="C837" s="10"/>
      <c r="D837" s="10"/>
      <c r="E837" s="47"/>
      <c r="F837" s="10"/>
      <c r="G837" s="52"/>
      <c r="H837" s="10"/>
      <c r="I837" s="53"/>
      <c r="J837" s="54"/>
      <c r="K837" s="10"/>
      <c r="L837" s="10"/>
      <c r="M837" s="10"/>
    </row>
    <row r="838" ht="15.75" customHeight="1">
      <c r="A838" s="46"/>
      <c r="B838" s="10"/>
      <c r="C838" s="10"/>
      <c r="D838" s="10"/>
      <c r="E838" s="47"/>
      <c r="F838" s="10"/>
      <c r="G838" s="52"/>
      <c r="H838" s="10"/>
      <c r="I838" s="53"/>
      <c r="J838" s="54"/>
      <c r="K838" s="10"/>
      <c r="L838" s="10"/>
      <c r="M838" s="10"/>
    </row>
    <row r="839" ht="15.75" customHeight="1">
      <c r="A839" s="46"/>
      <c r="B839" s="10"/>
      <c r="C839" s="10"/>
      <c r="D839" s="10"/>
      <c r="E839" s="47"/>
      <c r="F839" s="10"/>
      <c r="G839" s="52"/>
      <c r="H839" s="10"/>
      <c r="I839" s="53"/>
      <c r="J839" s="54"/>
      <c r="K839" s="10"/>
      <c r="L839" s="10"/>
      <c r="M839" s="10"/>
    </row>
    <row r="840" ht="15.75" customHeight="1">
      <c r="A840" s="46"/>
      <c r="B840" s="10"/>
      <c r="C840" s="10"/>
      <c r="D840" s="10"/>
      <c r="E840" s="47"/>
      <c r="F840" s="10"/>
      <c r="G840" s="52"/>
      <c r="H840" s="10"/>
      <c r="I840" s="53"/>
      <c r="J840" s="54"/>
      <c r="K840" s="10"/>
      <c r="L840" s="10"/>
      <c r="M840" s="10"/>
    </row>
    <row r="841" ht="15.75" customHeight="1">
      <c r="A841" s="46"/>
      <c r="B841" s="10"/>
      <c r="C841" s="10"/>
      <c r="D841" s="10"/>
      <c r="E841" s="47"/>
      <c r="F841" s="10"/>
      <c r="G841" s="52"/>
      <c r="H841" s="10"/>
      <c r="I841" s="53"/>
      <c r="J841" s="54"/>
      <c r="K841" s="10"/>
      <c r="L841" s="10"/>
      <c r="M841" s="10"/>
    </row>
    <row r="842" ht="15.75" customHeight="1">
      <c r="A842" s="46"/>
      <c r="B842" s="10"/>
      <c r="C842" s="10"/>
      <c r="D842" s="10"/>
      <c r="E842" s="47"/>
      <c r="F842" s="10"/>
      <c r="G842" s="52"/>
      <c r="H842" s="10"/>
      <c r="I842" s="53"/>
      <c r="J842" s="54"/>
      <c r="K842" s="10"/>
      <c r="L842" s="10"/>
      <c r="M842" s="10"/>
    </row>
    <row r="843" ht="15.75" customHeight="1">
      <c r="A843" s="46"/>
      <c r="B843" s="10"/>
      <c r="C843" s="10"/>
      <c r="D843" s="10"/>
      <c r="E843" s="47"/>
      <c r="F843" s="10"/>
      <c r="G843" s="52"/>
      <c r="H843" s="10"/>
      <c r="I843" s="53"/>
      <c r="J843" s="54"/>
      <c r="K843" s="10"/>
      <c r="L843" s="10"/>
      <c r="M843" s="10"/>
    </row>
    <row r="844" ht="15.75" customHeight="1">
      <c r="A844" s="46"/>
      <c r="B844" s="10"/>
      <c r="C844" s="10"/>
      <c r="D844" s="10"/>
      <c r="E844" s="47"/>
      <c r="F844" s="10"/>
      <c r="G844" s="52"/>
      <c r="H844" s="10"/>
      <c r="I844" s="53"/>
      <c r="J844" s="54"/>
      <c r="K844" s="10"/>
      <c r="L844" s="10"/>
      <c r="M844" s="10"/>
    </row>
    <row r="845" ht="15.75" customHeight="1">
      <c r="A845" s="46"/>
      <c r="B845" s="10"/>
      <c r="C845" s="10"/>
      <c r="D845" s="10"/>
      <c r="E845" s="47"/>
      <c r="F845" s="10"/>
      <c r="G845" s="52"/>
      <c r="H845" s="10"/>
      <c r="I845" s="53"/>
      <c r="J845" s="54"/>
      <c r="K845" s="10"/>
      <c r="L845" s="10"/>
      <c r="M845" s="10"/>
    </row>
    <row r="846" ht="15.75" customHeight="1">
      <c r="A846" s="46"/>
      <c r="B846" s="10"/>
      <c r="C846" s="10"/>
      <c r="D846" s="10"/>
      <c r="E846" s="47"/>
      <c r="F846" s="10"/>
      <c r="G846" s="52"/>
      <c r="H846" s="10"/>
      <c r="I846" s="53"/>
      <c r="J846" s="54"/>
      <c r="K846" s="10"/>
      <c r="L846" s="10"/>
      <c r="M846" s="10"/>
    </row>
    <row r="847" ht="15.75" customHeight="1">
      <c r="A847" s="46"/>
      <c r="B847" s="10"/>
      <c r="C847" s="10"/>
      <c r="D847" s="10"/>
      <c r="E847" s="47"/>
      <c r="F847" s="10"/>
      <c r="G847" s="52"/>
      <c r="H847" s="10"/>
      <c r="I847" s="53"/>
      <c r="J847" s="54"/>
      <c r="K847" s="10"/>
      <c r="L847" s="10"/>
      <c r="M847" s="10"/>
    </row>
    <row r="848" ht="15.75" customHeight="1">
      <c r="A848" s="46"/>
      <c r="B848" s="10"/>
      <c r="C848" s="10"/>
      <c r="D848" s="10"/>
      <c r="E848" s="47"/>
      <c r="F848" s="10"/>
      <c r="G848" s="52"/>
      <c r="H848" s="10"/>
      <c r="I848" s="53"/>
      <c r="J848" s="54"/>
      <c r="K848" s="10"/>
      <c r="L848" s="10"/>
      <c r="M848" s="10"/>
    </row>
    <row r="849" ht="15.75" customHeight="1">
      <c r="A849" s="46"/>
      <c r="B849" s="10"/>
      <c r="C849" s="10"/>
      <c r="D849" s="10"/>
      <c r="E849" s="47"/>
      <c r="F849" s="10"/>
      <c r="G849" s="52"/>
      <c r="H849" s="10"/>
      <c r="I849" s="53"/>
      <c r="J849" s="54"/>
      <c r="K849" s="10"/>
      <c r="L849" s="10"/>
      <c r="M849" s="10"/>
    </row>
    <row r="850" ht="15.75" customHeight="1">
      <c r="A850" s="46"/>
      <c r="B850" s="10"/>
      <c r="C850" s="10"/>
      <c r="D850" s="10"/>
      <c r="E850" s="47"/>
      <c r="F850" s="10"/>
      <c r="G850" s="52"/>
      <c r="H850" s="10"/>
      <c r="I850" s="53"/>
      <c r="J850" s="54"/>
      <c r="K850" s="10"/>
      <c r="L850" s="10"/>
      <c r="M850" s="10"/>
    </row>
    <row r="851" ht="15.75" customHeight="1">
      <c r="A851" s="46"/>
      <c r="B851" s="10"/>
      <c r="C851" s="10"/>
      <c r="D851" s="10"/>
      <c r="E851" s="47"/>
      <c r="F851" s="10"/>
      <c r="G851" s="52"/>
      <c r="H851" s="10"/>
      <c r="I851" s="53"/>
      <c r="J851" s="54"/>
      <c r="K851" s="10"/>
      <c r="L851" s="10"/>
      <c r="M851" s="10"/>
    </row>
    <row r="852" ht="15.75" customHeight="1">
      <c r="A852" s="46"/>
      <c r="B852" s="10"/>
      <c r="C852" s="10"/>
      <c r="D852" s="10"/>
      <c r="E852" s="47"/>
      <c r="F852" s="10"/>
      <c r="G852" s="52"/>
      <c r="H852" s="10"/>
      <c r="I852" s="53"/>
      <c r="J852" s="54"/>
      <c r="K852" s="10"/>
      <c r="L852" s="10"/>
      <c r="M852" s="10"/>
    </row>
    <row r="853" ht="15.75" customHeight="1">
      <c r="A853" s="46"/>
      <c r="B853" s="10"/>
      <c r="C853" s="10"/>
      <c r="D853" s="10"/>
      <c r="E853" s="47"/>
      <c r="F853" s="10"/>
      <c r="G853" s="52"/>
      <c r="H853" s="10"/>
      <c r="I853" s="53"/>
      <c r="J853" s="54"/>
      <c r="K853" s="10"/>
      <c r="L853" s="10"/>
      <c r="M853" s="10"/>
    </row>
    <row r="854" ht="15.75" customHeight="1">
      <c r="A854" s="46"/>
      <c r="B854" s="10"/>
      <c r="C854" s="10"/>
      <c r="D854" s="10"/>
      <c r="E854" s="47"/>
      <c r="F854" s="10"/>
      <c r="G854" s="52"/>
      <c r="H854" s="10"/>
      <c r="I854" s="53"/>
      <c r="J854" s="54"/>
      <c r="K854" s="10"/>
      <c r="L854" s="10"/>
      <c r="M854" s="10"/>
    </row>
    <row r="855" ht="15.75" customHeight="1">
      <c r="A855" s="46"/>
      <c r="B855" s="10"/>
      <c r="C855" s="10"/>
      <c r="D855" s="10"/>
      <c r="E855" s="47"/>
      <c r="F855" s="10"/>
      <c r="G855" s="52"/>
      <c r="H855" s="10"/>
      <c r="I855" s="53"/>
      <c r="J855" s="54"/>
      <c r="K855" s="10"/>
      <c r="L855" s="10"/>
      <c r="M855" s="10"/>
    </row>
    <row r="856" ht="15.75" customHeight="1">
      <c r="A856" s="46"/>
      <c r="B856" s="10"/>
      <c r="C856" s="10"/>
      <c r="D856" s="10"/>
      <c r="E856" s="47"/>
      <c r="F856" s="10"/>
      <c r="G856" s="52"/>
      <c r="H856" s="10"/>
      <c r="I856" s="53"/>
      <c r="J856" s="54"/>
      <c r="K856" s="10"/>
      <c r="L856" s="10"/>
      <c r="M856" s="10"/>
    </row>
    <row r="857" ht="15.75" customHeight="1">
      <c r="A857" s="46"/>
      <c r="B857" s="10"/>
      <c r="C857" s="10"/>
      <c r="D857" s="10"/>
      <c r="E857" s="47"/>
      <c r="F857" s="10"/>
      <c r="G857" s="52"/>
      <c r="H857" s="10"/>
      <c r="I857" s="53"/>
      <c r="J857" s="54"/>
      <c r="K857" s="10"/>
      <c r="L857" s="10"/>
      <c r="M857" s="10"/>
    </row>
    <row r="858" ht="15.75" customHeight="1">
      <c r="A858" s="46"/>
      <c r="B858" s="10"/>
      <c r="C858" s="10"/>
      <c r="D858" s="10"/>
      <c r="E858" s="47"/>
      <c r="F858" s="10"/>
      <c r="G858" s="52"/>
      <c r="H858" s="10"/>
      <c r="I858" s="53"/>
      <c r="J858" s="54"/>
      <c r="K858" s="10"/>
      <c r="L858" s="10"/>
      <c r="M858" s="10"/>
    </row>
    <row r="859" ht="15.75" customHeight="1">
      <c r="A859" s="46"/>
      <c r="B859" s="10"/>
      <c r="C859" s="10"/>
      <c r="D859" s="10"/>
      <c r="E859" s="47"/>
      <c r="F859" s="10"/>
      <c r="G859" s="52"/>
      <c r="H859" s="10"/>
      <c r="I859" s="53"/>
      <c r="J859" s="54"/>
      <c r="K859" s="10"/>
      <c r="L859" s="10"/>
      <c r="M859" s="10"/>
    </row>
    <row r="860" ht="15.75" customHeight="1">
      <c r="A860" s="46"/>
      <c r="B860" s="10"/>
      <c r="C860" s="10"/>
      <c r="D860" s="10"/>
      <c r="E860" s="47"/>
      <c r="F860" s="10"/>
      <c r="G860" s="52"/>
      <c r="H860" s="10"/>
      <c r="I860" s="53"/>
      <c r="J860" s="54"/>
      <c r="K860" s="10"/>
      <c r="L860" s="10"/>
      <c r="M860" s="10"/>
    </row>
    <row r="861" ht="15.75" customHeight="1">
      <c r="A861" s="46"/>
      <c r="B861" s="10"/>
      <c r="C861" s="10"/>
      <c r="D861" s="10"/>
      <c r="E861" s="47"/>
      <c r="F861" s="10"/>
      <c r="G861" s="52"/>
      <c r="H861" s="10"/>
      <c r="I861" s="53"/>
      <c r="J861" s="54"/>
      <c r="K861" s="10"/>
      <c r="L861" s="10"/>
      <c r="M861" s="10"/>
    </row>
    <row r="862" ht="15.75" customHeight="1">
      <c r="A862" s="46"/>
      <c r="B862" s="10"/>
      <c r="C862" s="10"/>
      <c r="D862" s="10"/>
      <c r="E862" s="47"/>
      <c r="F862" s="10"/>
      <c r="G862" s="52"/>
      <c r="H862" s="10"/>
      <c r="I862" s="53"/>
      <c r="J862" s="54"/>
      <c r="K862" s="10"/>
      <c r="L862" s="10"/>
      <c r="M862" s="10"/>
    </row>
    <row r="863" ht="15.75" customHeight="1">
      <c r="A863" s="46"/>
      <c r="B863" s="10"/>
      <c r="C863" s="10"/>
      <c r="D863" s="10"/>
      <c r="E863" s="47"/>
      <c r="F863" s="10"/>
      <c r="G863" s="52"/>
      <c r="H863" s="10"/>
      <c r="I863" s="53"/>
      <c r="J863" s="54"/>
      <c r="K863" s="10"/>
      <c r="L863" s="10"/>
      <c r="M863" s="10"/>
    </row>
    <row r="864" ht="15.75" customHeight="1">
      <c r="A864" s="46"/>
      <c r="B864" s="10"/>
      <c r="C864" s="10"/>
      <c r="D864" s="10"/>
      <c r="E864" s="47"/>
      <c r="F864" s="10"/>
      <c r="G864" s="52"/>
      <c r="H864" s="10"/>
      <c r="I864" s="53"/>
      <c r="J864" s="54"/>
      <c r="K864" s="10"/>
      <c r="L864" s="10"/>
      <c r="M864" s="10"/>
    </row>
    <row r="865" ht="15.75" customHeight="1">
      <c r="A865" s="46"/>
      <c r="B865" s="10"/>
      <c r="C865" s="10"/>
      <c r="D865" s="10"/>
      <c r="E865" s="47"/>
      <c r="F865" s="10"/>
      <c r="G865" s="52"/>
      <c r="H865" s="10"/>
      <c r="I865" s="53"/>
      <c r="J865" s="54"/>
      <c r="K865" s="10"/>
      <c r="L865" s="10"/>
      <c r="M865" s="10"/>
    </row>
    <row r="866" ht="15.75" customHeight="1">
      <c r="A866" s="46"/>
      <c r="B866" s="10"/>
      <c r="C866" s="10"/>
      <c r="D866" s="10"/>
      <c r="E866" s="47"/>
      <c r="F866" s="10"/>
      <c r="G866" s="52"/>
      <c r="H866" s="10"/>
      <c r="I866" s="53"/>
      <c r="J866" s="54"/>
      <c r="K866" s="10"/>
      <c r="L866" s="10"/>
      <c r="M866" s="10"/>
    </row>
    <row r="867" ht="15.75" customHeight="1">
      <c r="A867" s="46"/>
      <c r="B867" s="10"/>
      <c r="C867" s="10"/>
      <c r="D867" s="10"/>
      <c r="E867" s="47"/>
      <c r="F867" s="10"/>
      <c r="G867" s="52"/>
      <c r="H867" s="10"/>
      <c r="I867" s="53"/>
      <c r="J867" s="54"/>
      <c r="K867" s="10"/>
      <c r="L867" s="10"/>
      <c r="M867" s="10"/>
    </row>
    <row r="868" ht="15.75" customHeight="1">
      <c r="A868" s="46"/>
      <c r="B868" s="10"/>
      <c r="C868" s="10"/>
      <c r="D868" s="10"/>
      <c r="E868" s="47"/>
      <c r="F868" s="10"/>
      <c r="G868" s="52"/>
      <c r="H868" s="10"/>
      <c r="I868" s="53"/>
      <c r="J868" s="54"/>
      <c r="K868" s="10"/>
      <c r="L868" s="10"/>
      <c r="M868" s="10"/>
    </row>
    <row r="869" ht="15.75" customHeight="1">
      <c r="A869" s="46"/>
      <c r="B869" s="10"/>
      <c r="C869" s="10"/>
      <c r="D869" s="10"/>
      <c r="E869" s="47"/>
      <c r="F869" s="10"/>
      <c r="G869" s="52"/>
      <c r="H869" s="10"/>
      <c r="I869" s="53"/>
      <c r="J869" s="54"/>
      <c r="K869" s="10"/>
      <c r="L869" s="10"/>
      <c r="M869" s="10"/>
    </row>
    <row r="870" ht="15.75" customHeight="1">
      <c r="A870" s="46"/>
      <c r="B870" s="10"/>
      <c r="C870" s="10"/>
      <c r="D870" s="10"/>
      <c r="E870" s="47"/>
      <c r="F870" s="10"/>
      <c r="G870" s="52"/>
      <c r="H870" s="10"/>
      <c r="I870" s="53"/>
      <c r="J870" s="54"/>
      <c r="K870" s="10"/>
      <c r="L870" s="10"/>
      <c r="M870" s="10"/>
    </row>
    <row r="871" ht="15.75" customHeight="1">
      <c r="A871" s="46"/>
      <c r="B871" s="10"/>
      <c r="C871" s="10"/>
      <c r="D871" s="10"/>
      <c r="E871" s="47"/>
      <c r="F871" s="10"/>
      <c r="G871" s="52"/>
      <c r="H871" s="10"/>
      <c r="I871" s="53"/>
      <c r="J871" s="54"/>
      <c r="K871" s="10"/>
      <c r="L871" s="10"/>
      <c r="M871" s="10"/>
    </row>
    <row r="872" ht="15.75" customHeight="1">
      <c r="A872" s="46"/>
      <c r="B872" s="10"/>
      <c r="C872" s="10"/>
      <c r="D872" s="10"/>
      <c r="E872" s="47"/>
      <c r="F872" s="10"/>
      <c r="G872" s="52"/>
      <c r="H872" s="10"/>
      <c r="I872" s="53"/>
      <c r="J872" s="54"/>
      <c r="K872" s="10"/>
      <c r="L872" s="10"/>
      <c r="M872" s="10"/>
    </row>
    <row r="873" ht="15.75" customHeight="1">
      <c r="A873" s="46"/>
      <c r="B873" s="10"/>
      <c r="C873" s="10"/>
      <c r="D873" s="10"/>
      <c r="E873" s="47"/>
      <c r="F873" s="10"/>
      <c r="G873" s="52"/>
      <c r="H873" s="10"/>
      <c r="I873" s="53"/>
      <c r="J873" s="54"/>
      <c r="K873" s="10"/>
      <c r="L873" s="10"/>
      <c r="M873" s="10"/>
    </row>
    <row r="874" ht="15.75" customHeight="1">
      <c r="A874" s="46"/>
      <c r="B874" s="10"/>
      <c r="C874" s="10"/>
      <c r="D874" s="10"/>
      <c r="E874" s="47"/>
      <c r="F874" s="10"/>
      <c r="G874" s="52"/>
      <c r="H874" s="10"/>
      <c r="I874" s="53"/>
      <c r="J874" s="54"/>
      <c r="K874" s="10"/>
      <c r="L874" s="10"/>
      <c r="M874" s="10"/>
    </row>
    <row r="875" ht="15.75" customHeight="1">
      <c r="A875" s="46"/>
      <c r="B875" s="10"/>
      <c r="C875" s="10"/>
      <c r="D875" s="10"/>
      <c r="E875" s="47"/>
      <c r="F875" s="10"/>
      <c r="G875" s="52"/>
      <c r="H875" s="10"/>
      <c r="I875" s="53"/>
      <c r="J875" s="54"/>
      <c r="K875" s="10"/>
      <c r="L875" s="10"/>
      <c r="M875" s="10"/>
    </row>
    <row r="876" ht="15.75" customHeight="1">
      <c r="A876" s="46"/>
      <c r="B876" s="10"/>
      <c r="C876" s="10"/>
      <c r="D876" s="10"/>
      <c r="E876" s="47"/>
      <c r="F876" s="10"/>
      <c r="G876" s="52"/>
      <c r="H876" s="10"/>
      <c r="I876" s="53"/>
      <c r="J876" s="54"/>
      <c r="K876" s="10"/>
      <c r="L876" s="10"/>
      <c r="M876" s="10"/>
    </row>
    <row r="877" ht="15.75" customHeight="1">
      <c r="A877" s="46"/>
      <c r="B877" s="10"/>
      <c r="C877" s="10"/>
      <c r="D877" s="10"/>
      <c r="E877" s="47"/>
      <c r="F877" s="10"/>
      <c r="G877" s="52"/>
      <c r="H877" s="10"/>
      <c r="I877" s="53"/>
      <c r="J877" s="54"/>
      <c r="K877" s="10"/>
      <c r="L877" s="10"/>
      <c r="M877" s="10"/>
    </row>
    <row r="878" ht="15.75" customHeight="1">
      <c r="A878" s="46"/>
      <c r="B878" s="10"/>
      <c r="C878" s="10"/>
      <c r="D878" s="10"/>
      <c r="E878" s="47"/>
      <c r="F878" s="10"/>
      <c r="G878" s="52"/>
      <c r="H878" s="10"/>
      <c r="I878" s="53"/>
      <c r="J878" s="54"/>
      <c r="K878" s="10"/>
      <c r="L878" s="10"/>
      <c r="M878" s="10"/>
    </row>
    <row r="879" ht="15.75" customHeight="1">
      <c r="A879" s="46"/>
      <c r="B879" s="10"/>
      <c r="C879" s="10"/>
      <c r="D879" s="10"/>
      <c r="E879" s="47"/>
      <c r="F879" s="10"/>
      <c r="G879" s="52"/>
      <c r="H879" s="10"/>
      <c r="I879" s="53"/>
      <c r="J879" s="54"/>
      <c r="K879" s="10"/>
      <c r="L879" s="10"/>
      <c r="M879" s="10"/>
    </row>
    <row r="880" ht="15.75" customHeight="1">
      <c r="A880" s="46"/>
      <c r="B880" s="10"/>
      <c r="C880" s="10"/>
      <c r="D880" s="10"/>
      <c r="E880" s="47"/>
      <c r="F880" s="10"/>
      <c r="G880" s="52"/>
      <c r="H880" s="10"/>
      <c r="I880" s="53"/>
      <c r="J880" s="54"/>
      <c r="K880" s="10"/>
      <c r="L880" s="10"/>
      <c r="M880" s="10"/>
    </row>
    <row r="881" ht="15.75" customHeight="1">
      <c r="A881" s="46"/>
      <c r="B881" s="10"/>
      <c r="C881" s="10"/>
      <c r="D881" s="10"/>
      <c r="E881" s="47"/>
      <c r="F881" s="10"/>
      <c r="G881" s="52"/>
      <c r="H881" s="10"/>
      <c r="I881" s="53"/>
      <c r="J881" s="54"/>
      <c r="K881" s="10"/>
      <c r="L881" s="10"/>
      <c r="M881" s="10"/>
    </row>
    <row r="882" ht="15.75" customHeight="1">
      <c r="A882" s="46"/>
      <c r="B882" s="10"/>
      <c r="C882" s="10"/>
      <c r="D882" s="10"/>
      <c r="E882" s="47"/>
      <c r="F882" s="10"/>
      <c r="G882" s="52"/>
      <c r="H882" s="10"/>
      <c r="I882" s="53"/>
      <c r="J882" s="54"/>
      <c r="K882" s="10"/>
      <c r="L882" s="10"/>
      <c r="M882" s="10"/>
    </row>
    <row r="883" ht="15.75" customHeight="1">
      <c r="A883" s="46"/>
      <c r="B883" s="10"/>
      <c r="C883" s="10"/>
      <c r="D883" s="10"/>
      <c r="E883" s="47"/>
      <c r="F883" s="10"/>
      <c r="G883" s="52"/>
      <c r="H883" s="10"/>
      <c r="I883" s="53"/>
      <c r="J883" s="54"/>
      <c r="K883" s="10"/>
      <c r="L883" s="10"/>
      <c r="M883" s="10"/>
    </row>
    <row r="884" ht="15.75" customHeight="1">
      <c r="A884" s="46"/>
      <c r="B884" s="10"/>
      <c r="C884" s="10"/>
      <c r="D884" s="10"/>
      <c r="E884" s="47"/>
      <c r="F884" s="10"/>
      <c r="G884" s="52"/>
      <c r="H884" s="10"/>
      <c r="I884" s="53"/>
      <c r="J884" s="54"/>
      <c r="K884" s="10"/>
      <c r="L884" s="10"/>
      <c r="M884" s="10"/>
    </row>
    <row r="885" ht="15.75" customHeight="1">
      <c r="A885" s="46"/>
      <c r="B885" s="10"/>
      <c r="C885" s="10"/>
      <c r="D885" s="10"/>
      <c r="E885" s="47"/>
      <c r="F885" s="10"/>
      <c r="G885" s="52"/>
      <c r="H885" s="10"/>
      <c r="I885" s="53"/>
      <c r="J885" s="54"/>
      <c r="K885" s="10"/>
      <c r="L885" s="10"/>
      <c r="M885" s="10"/>
    </row>
    <row r="886" ht="15.75" customHeight="1">
      <c r="A886" s="46"/>
      <c r="B886" s="10"/>
      <c r="C886" s="10"/>
      <c r="D886" s="10"/>
      <c r="E886" s="47"/>
      <c r="F886" s="10"/>
      <c r="G886" s="52"/>
      <c r="H886" s="10"/>
      <c r="I886" s="53"/>
      <c r="J886" s="54"/>
      <c r="K886" s="10"/>
      <c r="L886" s="10"/>
      <c r="M886" s="10"/>
    </row>
    <row r="887" ht="15.75" customHeight="1">
      <c r="A887" s="46"/>
      <c r="B887" s="10"/>
      <c r="C887" s="10"/>
      <c r="D887" s="10"/>
      <c r="E887" s="47"/>
      <c r="F887" s="10"/>
      <c r="G887" s="52"/>
      <c r="H887" s="10"/>
      <c r="I887" s="53"/>
      <c r="J887" s="54"/>
      <c r="K887" s="10"/>
      <c r="L887" s="10"/>
      <c r="M887" s="10"/>
    </row>
    <row r="888" ht="15.75" customHeight="1">
      <c r="A888" s="46"/>
      <c r="B888" s="10"/>
      <c r="C888" s="10"/>
      <c r="D888" s="10"/>
      <c r="E888" s="47"/>
      <c r="F888" s="10"/>
      <c r="G888" s="52"/>
      <c r="H888" s="10"/>
      <c r="I888" s="53"/>
      <c r="J888" s="54"/>
      <c r="K888" s="10"/>
      <c r="L888" s="10"/>
      <c r="M888" s="10"/>
    </row>
    <row r="889" ht="15.75" customHeight="1">
      <c r="A889" s="46"/>
      <c r="B889" s="10"/>
      <c r="C889" s="10"/>
      <c r="D889" s="10"/>
      <c r="E889" s="47"/>
      <c r="F889" s="10"/>
      <c r="G889" s="52"/>
      <c r="H889" s="10"/>
      <c r="I889" s="53"/>
      <c r="J889" s="54"/>
      <c r="K889" s="10"/>
      <c r="L889" s="10"/>
      <c r="M889" s="10"/>
    </row>
    <row r="890" ht="15.75" customHeight="1">
      <c r="A890" s="46"/>
      <c r="B890" s="10"/>
      <c r="C890" s="10"/>
      <c r="D890" s="10"/>
      <c r="E890" s="47"/>
      <c r="F890" s="10"/>
      <c r="G890" s="52"/>
      <c r="H890" s="10"/>
      <c r="I890" s="53"/>
      <c r="J890" s="54"/>
      <c r="K890" s="10"/>
      <c r="L890" s="10"/>
      <c r="M890" s="10"/>
    </row>
    <row r="891" ht="15.75" customHeight="1">
      <c r="A891" s="46"/>
      <c r="B891" s="10"/>
      <c r="C891" s="10"/>
      <c r="D891" s="10"/>
      <c r="E891" s="47"/>
      <c r="F891" s="10"/>
      <c r="G891" s="52"/>
      <c r="H891" s="10"/>
      <c r="I891" s="53"/>
      <c r="J891" s="54"/>
      <c r="K891" s="10"/>
      <c r="L891" s="10"/>
      <c r="M891" s="10"/>
    </row>
    <row r="892" ht="15.75" customHeight="1">
      <c r="A892" s="46"/>
      <c r="B892" s="10"/>
      <c r="C892" s="10"/>
      <c r="D892" s="10"/>
      <c r="E892" s="47"/>
      <c r="F892" s="10"/>
      <c r="G892" s="52"/>
      <c r="H892" s="10"/>
      <c r="I892" s="53"/>
      <c r="J892" s="54"/>
      <c r="K892" s="10"/>
      <c r="L892" s="10"/>
      <c r="M892" s="10"/>
    </row>
    <row r="893" ht="15.75" customHeight="1">
      <c r="A893" s="46"/>
      <c r="B893" s="10"/>
      <c r="C893" s="10"/>
      <c r="D893" s="10"/>
      <c r="E893" s="47"/>
      <c r="F893" s="10"/>
      <c r="G893" s="52"/>
      <c r="H893" s="10"/>
      <c r="I893" s="53"/>
      <c r="J893" s="54"/>
      <c r="K893" s="10"/>
      <c r="L893" s="10"/>
      <c r="M893" s="10"/>
    </row>
    <row r="894" ht="15.75" customHeight="1">
      <c r="A894" s="46"/>
      <c r="B894" s="10"/>
      <c r="C894" s="10"/>
      <c r="D894" s="10"/>
      <c r="E894" s="47"/>
      <c r="F894" s="10"/>
      <c r="G894" s="52"/>
      <c r="H894" s="10"/>
      <c r="I894" s="53"/>
      <c r="J894" s="54"/>
      <c r="K894" s="10"/>
      <c r="L894" s="10"/>
      <c r="M894" s="10"/>
    </row>
    <row r="895" ht="15.75" customHeight="1">
      <c r="A895" s="46"/>
      <c r="B895" s="10"/>
      <c r="C895" s="10"/>
      <c r="D895" s="10"/>
      <c r="E895" s="47"/>
      <c r="F895" s="10"/>
      <c r="G895" s="52"/>
      <c r="H895" s="10"/>
      <c r="I895" s="53"/>
      <c r="J895" s="54"/>
      <c r="K895" s="10"/>
      <c r="L895" s="10"/>
      <c r="M895" s="10"/>
    </row>
    <row r="896" ht="15.75" customHeight="1">
      <c r="A896" s="46"/>
      <c r="B896" s="10"/>
      <c r="C896" s="10"/>
      <c r="D896" s="10"/>
      <c r="E896" s="47"/>
      <c r="F896" s="10"/>
      <c r="G896" s="52"/>
      <c r="H896" s="10"/>
      <c r="I896" s="53"/>
      <c r="J896" s="54"/>
      <c r="K896" s="10"/>
      <c r="L896" s="10"/>
      <c r="M896" s="10"/>
    </row>
    <row r="897" ht="15.75" customHeight="1">
      <c r="A897" s="46"/>
      <c r="B897" s="10"/>
      <c r="C897" s="10"/>
      <c r="D897" s="10"/>
      <c r="E897" s="47"/>
      <c r="F897" s="10"/>
      <c r="G897" s="52"/>
      <c r="H897" s="10"/>
      <c r="I897" s="53"/>
      <c r="J897" s="54"/>
      <c r="K897" s="10"/>
      <c r="L897" s="10"/>
      <c r="M897" s="10"/>
    </row>
    <row r="898" ht="15.75" customHeight="1">
      <c r="A898" s="46"/>
      <c r="B898" s="10"/>
      <c r="C898" s="10"/>
      <c r="D898" s="10"/>
      <c r="E898" s="47"/>
      <c r="F898" s="10"/>
      <c r="G898" s="52"/>
      <c r="H898" s="10"/>
      <c r="I898" s="53"/>
      <c r="J898" s="54"/>
      <c r="K898" s="10"/>
      <c r="L898" s="10"/>
      <c r="M898" s="10"/>
    </row>
    <row r="899" ht="15.75" customHeight="1">
      <c r="A899" s="46"/>
      <c r="B899" s="10"/>
      <c r="C899" s="10"/>
      <c r="D899" s="10"/>
      <c r="E899" s="47"/>
      <c r="F899" s="10"/>
      <c r="G899" s="52"/>
      <c r="H899" s="10"/>
      <c r="I899" s="53"/>
      <c r="J899" s="54"/>
      <c r="K899" s="10"/>
      <c r="L899" s="10"/>
      <c r="M899" s="10"/>
    </row>
    <row r="900" ht="15.75" customHeight="1">
      <c r="A900" s="46"/>
      <c r="B900" s="10"/>
      <c r="C900" s="10"/>
      <c r="D900" s="10"/>
      <c r="E900" s="47"/>
      <c r="F900" s="10"/>
      <c r="G900" s="52"/>
      <c r="H900" s="10"/>
      <c r="I900" s="53"/>
      <c r="J900" s="54"/>
      <c r="K900" s="10"/>
      <c r="L900" s="10"/>
      <c r="M900" s="10"/>
    </row>
    <row r="901" ht="15.75" customHeight="1">
      <c r="A901" s="46"/>
      <c r="B901" s="10"/>
      <c r="C901" s="10"/>
      <c r="D901" s="10"/>
      <c r="E901" s="47"/>
      <c r="F901" s="10"/>
      <c r="G901" s="52"/>
      <c r="H901" s="10"/>
      <c r="I901" s="53"/>
      <c r="J901" s="54"/>
      <c r="K901" s="10"/>
      <c r="L901" s="10"/>
      <c r="M901" s="10"/>
    </row>
    <row r="902" ht="15.75" customHeight="1">
      <c r="A902" s="46"/>
      <c r="B902" s="10"/>
      <c r="C902" s="10"/>
      <c r="D902" s="10"/>
      <c r="E902" s="47"/>
      <c r="F902" s="10"/>
      <c r="G902" s="52"/>
      <c r="H902" s="10"/>
      <c r="I902" s="53"/>
      <c r="J902" s="54"/>
      <c r="K902" s="10"/>
      <c r="L902" s="10"/>
      <c r="M902" s="10"/>
    </row>
    <row r="903" ht="15.75" customHeight="1">
      <c r="A903" s="46"/>
      <c r="B903" s="10"/>
      <c r="C903" s="10"/>
      <c r="D903" s="10"/>
      <c r="E903" s="47"/>
      <c r="F903" s="10"/>
      <c r="G903" s="52"/>
      <c r="H903" s="10"/>
      <c r="I903" s="53"/>
      <c r="J903" s="54"/>
      <c r="K903" s="10"/>
      <c r="L903" s="10"/>
      <c r="M903" s="10"/>
    </row>
    <row r="904" ht="15.75" customHeight="1">
      <c r="A904" s="46"/>
      <c r="B904" s="10"/>
      <c r="C904" s="10"/>
      <c r="D904" s="10"/>
      <c r="E904" s="47"/>
      <c r="F904" s="10"/>
      <c r="G904" s="52"/>
      <c r="H904" s="10"/>
      <c r="I904" s="53"/>
      <c r="J904" s="54"/>
      <c r="K904" s="10"/>
      <c r="L904" s="10"/>
      <c r="M904" s="10"/>
    </row>
    <row r="905" ht="15.75" customHeight="1">
      <c r="A905" s="46"/>
      <c r="B905" s="10"/>
      <c r="C905" s="10"/>
      <c r="D905" s="10"/>
      <c r="E905" s="47"/>
      <c r="F905" s="10"/>
      <c r="G905" s="52"/>
      <c r="H905" s="10"/>
      <c r="I905" s="53"/>
      <c r="J905" s="54"/>
      <c r="K905" s="10"/>
      <c r="L905" s="10"/>
      <c r="M905" s="10"/>
    </row>
    <row r="906" ht="15.75" customHeight="1">
      <c r="A906" s="46"/>
      <c r="B906" s="10"/>
      <c r="C906" s="10"/>
      <c r="D906" s="10"/>
      <c r="E906" s="47"/>
      <c r="F906" s="10"/>
      <c r="G906" s="52"/>
      <c r="H906" s="10"/>
      <c r="I906" s="53"/>
      <c r="J906" s="54"/>
      <c r="K906" s="10"/>
      <c r="L906" s="10"/>
      <c r="M906" s="10"/>
    </row>
    <row r="907" ht="15.75" customHeight="1">
      <c r="A907" s="46"/>
      <c r="B907" s="10"/>
      <c r="C907" s="10"/>
      <c r="D907" s="10"/>
      <c r="E907" s="47"/>
      <c r="F907" s="10"/>
      <c r="G907" s="52"/>
      <c r="H907" s="10"/>
      <c r="I907" s="53"/>
      <c r="J907" s="54"/>
      <c r="K907" s="10"/>
      <c r="L907" s="10"/>
      <c r="M907" s="10"/>
    </row>
    <row r="908" ht="15.75" customHeight="1">
      <c r="A908" s="46"/>
      <c r="B908" s="10"/>
      <c r="C908" s="10"/>
      <c r="D908" s="10"/>
      <c r="E908" s="47"/>
      <c r="F908" s="10"/>
      <c r="G908" s="52"/>
      <c r="H908" s="10"/>
      <c r="I908" s="53"/>
      <c r="J908" s="54"/>
      <c r="K908" s="10"/>
      <c r="L908" s="10"/>
      <c r="M908" s="10"/>
    </row>
    <row r="909" ht="15.75" customHeight="1">
      <c r="A909" s="46"/>
      <c r="B909" s="10"/>
      <c r="C909" s="10"/>
      <c r="D909" s="10"/>
      <c r="E909" s="47"/>
      <c r="F909" s="10"/>
      <c r="G909" s="52"/>
      <c r="H909" s="10"/>
      <c r="I909" s="53"/>
      <c r="J909" s="54"/>
      <c r="K909" s="10"/>
      <c r="L909" s="10"/>
      <c r="M909" s="10"/>
    </row>
    <row r="910" ht="15.75" customHeight="1">
      <c r="A910" s="46"/>
      <c r="B910" s="10"/>
      <c r="C910" s="10"/>
      <c r="D910" s="10"/>
      <c r="E910" s="47"/>
      <c r="F910" s="10"/>
      <c r="G910" s="52"/>
      <c r="H910" s="10"/>
      <c r="I910" s="53"/>
      <c r="J910" s="54"/>
      <c r="K910" s="10"/>
      <c r="L910" s="10"/>
      <c r="M910" s="10"/>
    </row>
    <row r="911" ht="15.75" customHeight="1">
      <c r="A911" s="46"/>
      <c r="B911" s="10"/>
      <c r="C911" s="10"/>
      <c r="D911" s="10"/>
      <c r="E911" s="47"/>
      <c r="F911" s="10"/>
      <c r="G911" s="52"/>
      <c r="H911" s="10"/>
      <c r="I911" s="53"/>
      <c r="J911" s="54"/>
      <c r="K911" s="10"/>
      <c r="L911" s="10"/>
      <c r="M911" s="10"/>
    </row>
    <row r="912" ht="15.75" customHeight="1">
      <c r="A912" s="46"/>
      <c r="B912" s="10"/>
      <c r="C912" s="10"/>
      <c r="D912" s="10"/>
      <c r="E912" s="47"/>
      <c r="F912" s="10"/>
      <c r="G912" s="52"/>
      <c r="H912" s="10"/>
      <c r="I912" s="53"/>
      <c r="J912" s="54"/>
      <c r="K912" s="10"/>
      <c r="L912" s="10"/>
      <c r="M912" s="10"/>
    </row>
    <row r="913" ht="15.75" customHeight="1">
      <c r="A913" s="46"/>
      <c r="B913" s="10"/>
      <c r="C913" s="10"/>
      <c r="D913" s="10"/>
      <c r="E913" s="47"/>
      <c r="F913" s="10"/>
      <c r="G913" s="52"/>
      <c r="H913" s="10"/>
      <c r="I913" s="53"/>
      <c r="J913" s="54"/>
      <c r="K913" s="10"/>
      <c r="L913" s="10"/>
      <c r="M913" s="10"/>
    </row>
    <row r="914" ht="15.75" customHeight="1">
      <c r="A914" s="46"/>
      <c r="B914" s="10"/>
      <c r="C914" s="10"/>
      <c r="D914" s="10"/>
      <c r="E914" s="47"/>
      <c r="F914" s="10"/>
      <c r="G914" s="52"/>
      <c r="H914" s="10"/>
      <c r="I914" s="53"/>
      <c r="J914" s="54"/>
      <c r="K914" s="10"/>
      <c r="L914" s="10"/>
      <c r="M914" s="10"/>
    </row>
    <row r="915" ht="15.75" customHeight="1">
      <c r="A915" s="46"/>
      <c r="B915" s="10"/>
      <c r="C915" s="10"/>
      <c r="D915" s="10"/>
      <c r="E915" s="47"/>
      <c r="F915" s="10"/>
      <c r="G915" s="52"/>
      <c r="H915" s="10"/>
      <c r="I915" s="53"/>
      <c r="J915" s="54"/>
      <c r="K915" s="10"/>
      <c r="L915" s="10"/>
      <c r="M915" s="10"/>
    </row>
    <row r="916" ht="15.75" customHeight="1">
      <c r="A916" s="46"/>
      <c r="B916" s="10"/>
      <c r="C916" s="10"/>
      <c r="D916" s="10"/>
      <c r="E916" s="47"/>
      <c r="F916" s="10"/>
      <c r="G916" s="52"/>
      <c r="H916" s="10"/>
      <c r="I916" s="53"/>
      <c r="J916" s="54"/>
      <c r="K916" s="10"/>
      <c r="L916" s="10"/>
      <c r="M916" s="10"/>
    </row>
    <row r="917" ht="15.75" customHeight="1">
      <c r="A917" s="46"/>
      <c r="B917" s="10"/>
      <c r="C917" s="10"/>
      <c r="D917" s="10"/>
      <c r="E917" s="47"/>
      <c r="F917" s="10"/>
      <c r="G917" s="52"/>
      <c r="H917" s="10"/>
      <c r="I917" s="53"/>
      <c r="J917" s="54"/>
      <c r="K917" s="10"/>
      <c r="L917" s="10"/>
      <c r="M917" s="10"/>
    </row>
    <row r="918" ht="15.75" customHeight="1">
      <c r="A918" s="46"/>
      <c r="B918" s="10"/>
      <c r="C918" s="10"/>
      <c r="D918" s="10"/>
      <c r="E918" s="47"/>
      <c r="F918" s="10"/>
      <c r="G918" s="52"/>
      <c r="H918" s="10"/>
      <c r="I918" s="53"/>
      <c r="J918" s="54"/>
      <c r="K918" s="10"/>
      <c r="L918" s="10"/>
      <c r="M918" s="10"/>
    </row>
    <row r="919" ht="15.75" customHeight="1">
      <c r="A919" s="46"/>
      <c r="B919" s="10"/>
      <c r="C919" s="10"/>
      <c r="D919" s="10"/>
      <c r="E919" s="47"/>
      <c r="F919" s="10"/>
      <c r="G919" s="52"/>
      <c r="H919" s="10"/>
      <c r="I919" s="53"/>
      <c r="J919" s="54"/>
      <c r="K919" s="10"/>
      <c r="L919" s="10"/>
      <c r="M919" s="10"/>
    </row>
    <row r="920" ht="15.75" customHeight="1">
      <c r="A920" s="46"/>
      <c r="B920" s="10"/>
      <c r="C920" s="10"/>
      <c r="D920" s="10"/>
      <c r="E920" s="47"/>
      <c r="F920" s="10"/>
      <c r="G920" s="52"/>
      <c r="H920" s="10"/>
      <c r="I920" s="53"/>
      <c r="J920" s="54"/>
      <c r="K920" s="10"/>
      <c r="L920" s="10"/>
      <c r="M920" s="10"/>
    </row>
    <row r="921" ht="15.75" customHeight="1">
      <c r="A921" s="46"/>
      <c r="B921" s="10"/>
      <c r="C921" s="10"/>
      <c r="D921" s="10"/>
      <c r="E921" s="47"/>
      <c r="F921" s="10"/>
      <c r="G921" s="52"/>
      <c r="H921" s="10"/>
      <c r="I921" s="53"/>
      <c r="J921" s="54"/>
      <c r="K921" s="10"/>
      <c r="L921" s="10"/>
      <c r="M921" s="10"/>
    </row>
    <row r="922" ht="15.75" customHeight="1">
      <c r="A922" s="46"/>
      <c r="B922" s="10"/>
      <c r="C922" s="10"/>
      <c r="D922" s="10"/>
      <c r="E922" s="47"/>
      <c r="F922" s="10"/>
      <c r="G922" s="52"/>
      <c r="H922" s="10"/>
      <c r="I922" s="53"/>
      <c r="J922" s="54"/>
      <c r="K922" s="10"/>
      <c r="L922" s="10"/>
      <c r="M922" s="10"/>
    </row>
    <row r="923" ht="15.75" customHeight="1">
      <c r="A923" s="46"/>
      <c r="B923" s="10"/>
      <c r="C923" s="10"/>
      <c r="D923" s="10"/>
      <c r="E923" s="47"/>
      <c r="F923" s="10"/>
      <c r="G923" s="52"/>
      <c r="H923" s="10"/>
      <c r="I923" s="53"/>
      <c r="J923" s="54"/>
      <c r="K923" s="10"/>
      <c r="L923" s="10"/>
      <c r="M923" s="10"/>
    </row>
    <row r="924" ht="15.75" customHeight="1">
      <c r="A924" s="46"/>
      <c r="B924" s="10"/>
      <c r="C924" s="10"/>
      <c r="D924" s="10"/>
      <c r="E924" s="47"/>
      <c r="F924" s="10"/>
      <c r="G924" s="52"/>
      <c r="H924" s="10"/>
      <c r="I924" s="53"/>
      <c r="J924" s="54"/>
      <c r="K924" s="10"/>
      <c r="L924" s="10"/>
      <c r="M924" s="10"/>
    </row>
    <row r="925" ht="15.75" customHeight="1">
      <c r="A925" s="46"/>
      <c r="B925" s="10"/>
      <c r="C925" s="10"/>
      <c r="D925" s="10"/>
      <c r="E925" s="47"/>
      <c r="F925" s="10"/>
      <c r="G925" s="52"/>
      <c r="H925" s="10"/>
      <c r="I925" s="53"/>
      <c r="J925" s="54"/>
      <c r="K925" s="10"/>
      <c r="L925" s="10"/>
      <c r="M925" s="10"/>
    </row>
    <row r="926" ht="15.75" customHeight="1">
      <c r="A926" s="46"/>
      <c r="B926" s="10"/>
      <c r="C926" s="10"/>
      <c r="D926" s="10"/>
      <c r="E926" s="47"/>
      <c r="F926" s="10"/>
      <c r="G926" s="52"/>
      <c r="H926" s="10"/>
      <c r="I926" s="53"/>
      <c r="J926" s="54"/>
      <c r="K926" s="10"/>
      <c r="L926" s="10"/>
      <c r="M926" s="10"/>
    </row>
    <row r="927" ht="15.75" customHeight="1">
      <c r="A927" s="46"/>
      <c r="B927" s="10"/>
      <c r="C927" s="10"/>
      <c r="D927" s="10"/>
      <c r="E927" s="47"/>
      <c r="F927" s="10"/>
      <c r="G927" s="52"/>
      <c r="H927" s="10"/>
      <c r="I927" s="53"/>
      <c r="J927" s="54"/>
      <c r="K927" s="10"/>
      <c r="L927" s="10"/>
      <c r="M927" s="10"/>
    </row>
    <row r="928" ht="15.75" customHeight="1">
      <c r="A928" s="46"/>
      <c r="B928" s="10"/>
      <c r="C928" s="10"/>
      <c r="D928" s="10"/>
      <c r="E928" s="47"/>
      <c r="F928" s="10"/>
      <c r="G928" s="52"/>
      <c r="H928" s="10"/>
      <c r="I928" s="53"/>
      <c r="J928" s="54"/>
      <c r="K928" s="10"/>
      <c r="L928" s="10"/>
      <c r="M928" s="10"/>
    </row>
    <row r="929" ht="15.75" customHeight="1">
      <c r="A929" s="46"/>
      <c r="B929" s="10"/>
      <c r="C929" s="10"/>
      <c r="D929" s="10"/>
      <c r="E929" s="47"/>
      <c r="F929" s="10"/>
      <c r="G929" s="52"/>
      <c r="H929" s="10"/>
      <c r="I929" s="53"/>
      <c r="J929" s="54"/>
      <c r="K929" s="10"/>
      <c r="L929" s="10"/>
      <c r="M929" s="10"/>
    </row>
    <row r="930" ht="15.75" customHeight="1">
      <c r="A930" s="46"/>
      <c r="B930" s="10"/>
      <c r="C930" s="10"/>
      <c r="D930" s="10"/>
      <c r="E930" s="47"/>
      <c r="F930" s="10"/>
      <c r="G930" s="52"/>
      <c r="H930" s="10"/>
      <c r="I930" s="53"/>
      <c r="J930" s="54"/>
      <c r="K930" s="10"/>
      <c r="L930" s="10"/>
      <c r="M930" s="10"/>
    </row>
    <row r="931" ht="15.75" customHeight="1">
      <c r="A931" s="46"/>
      <c r="B931" s="10"/>
      <c r="C931" s="10"/>
      <c r="D931" s="10"/>
      <c r="E931" s="47"/>
      <c r="F931" s="10"/>
      <c r="G931" s="52"/>
      <c r="H931" s="10"/>
      <c r="I931" s="53"/>
      <c r="J931" s="54"/>
      <c r="K931" s="10"/>
      <c r="L931" s="10"/>
      <c r="M931" s="10"/>
    </row>
    <row r="932" ht="15.75" customHeight="1">
      <c r="A932" s="46"/>
      <c r="B932" s="10"/>
      <c r="C932" s="10"/>
      <c r="D932" s="10"/>
      <c r="E932" s="47"/>
      <c r="F932" s="10"/>
      <c r="G932" s="52"/>
      <c r="H932" s="10"/>
      <c r="I932" s="53"/>
      <c r="J932" s="54"/>
      <c r="K932" s="10"/>
      <c r="L932" s="10"/>
      <c r="M932" s="10"/>
    </row>
    <row r="933" ht="15.75" customHeight="1">
      <c r="A933" s="46"/>
      <c r="B933" s="10"/>
      <c r="C933" s="10"/>
      <c r="D933" s="10"/>
      <c r="E933" s="47"/>
      <c r="F933" s="10"/>
      <c r="G933" s="52"/>
      <c r="H933" s="10"/>
      <c r="I933" s="53"/>
      <c r="J933" s="54"/>
      <c r="K933" s="10"/>
      <c r="L933" s="10"/>
      <c r="M933" s="10"/>
    </row>
    <row r="934" ht="15.75" customHeight="1">
      <c r="A934" s="46"/>
      <c r="B934" s="10"/>
      <c r="C934" s="10"/>
      <c r="D934" s="10"/>
      <c r="E934" s="47"/>
      <c r="F934" s="10"/>
      <c r="G934" s="52"/>
      <c r="H934" s="10"/>
      <c r="I934" s="53"/>
      <c r="J934" s="54"/>
      <c r="K934" s="10"/>
      <c r="L934" s="10"/>
      <c r="M934" s="10"/>
    </row>
    <row r="935" ht="15.75" customHeight="1">
      <c r="A935" s="46"/>
      <c r="B935" s="10"/>
      <c r="C935" s="10"/>
      <c r="D935" s="10"/>
      <c r="E935" s="47"/>
      <c r="F935" s="10"/>
      <c r="G935" s="52"/>
      <c r="H935" s="10"/>
      <c r="I935" s="53"/>
      <c r="J935" s="54"/>
      <c r="K935" s="10"/>
      <c r="L935" s="10"/>
      <c r="M935" s="10"/>
    </row>
    <row r="936" ht="15.75" customHeight="1">
      <c r="A936" s="46"/>
      <c r="B936" s="10"/>
      <c r="C936" s="10"/>
      <c r="D936" s="10"/>
      <c r="E936" s="47"/>
      <c r="F936" s="10"/>
      <c r="G936" s="52"/>
      <c r="H936" s="10"/>
      <c r="I936" s="53"/>
      <c r="J936" s="54"/>
      <c r="K936" s="10"/>
      <c r="L936" s="10"/>
      <c r="M936" s="10"/>
    </row>
    <row r="937" ht="15.75" customHeight="1">
      <c r="A937" s="46"/>
      <c r="B937" s="10"/>
      <c r="C937" s="10"/>
      <c r="D937" s="10"/>
      <c r="E937" s="47"/>
      <c r="F937" s="10"/>
      <c r="G937" s="52"/>
      <c r="H937" s="10"/>
      <c r="I937" s="53"/>
      <c r="J937" s="54"/>
      <c r="K937" s="10"/>
      <c r="L937" s="10"/>
      <c r="M937" s="10"/>
    </row>
    <row r="938" ht="15.75" customHeight="1">
      <c r="A938" s="46"/>
      <c r="B938" s="10"/>
      <c r="C938" s="10"/>
      <c r="D938" s="10"/>
      <c r="E938" s="47"/>
      <c r="F938" s="10"/>
      <c r="G938" s="52"/>
      <c r="H938" s="10"/>
      <c r="I938" s="53"/>
      <c r="J938" s="54"/>
      <c r="K938" s="10"/>
      <c r="L938" s="10"/>
      <c r="M938" s="10"/>
    </row>
    <row r="939" ht="15.75" customHeight="1">
      <c r="A939" s="46"/>
      <c r="B939" s="10"/>
      <c r="C939" s="10"/>
      <c r="D939" s="10"/>
      <c r="E939" s="47"/>
      <c r="F939" s="10"/>
      <c r="G939" s="52"/>
      <c r="H939" s="10"/>
      <c r="I939" s="53"/>
      <c r="J939" s="54"/>
      <c r="K939" s="10"/>
      <c r="L939" s="10"/>
      <c r="M939" s="10"/>
    </row>
    <row r="940" ht="15.75" customHeight="1">
      <c r="A940" s="46"/>
      <c r="B940" s="10"/>
      <c r="C940" s="10"/>
      <c r="D940" s="10"/>
      <c r="E940" s="47"/>
      <c r="F940" s="10"/>
      <c r="G940" s="52"/>
      <c r="H940" s="10"/>
      <c r="I940" s="53"/>
      <c r="J940" s="54"/>
      <c r="K940" s="10"/>
      <c r="L940" s="10"/>
      <c r="M940" s="10"/>
    </row>
    <row r="941" ht="15.75" customHeight="1">
      <c r="A941" s="46"/>
      <c r="B941" s="10"/>
      <c r="C941" s="10"/>
      <c r="D941" s="10"/>
      <c r="E941" s="47"/>
      <c r="F941" s="10"/>
      <c r="G941" s="52"/>
      <c r="H941" s="10"/>
      <c r="I941" s="53"/>
      <c r="J941" s="54"/>
      <c r="K941" s="10"/>
      <c r="L941" s="10"/>
      <c r="M941" s="10"/>
    </row>
    <row r="942" ht="15.75" customHeight="1">
      <c r="A942" s="46"/>
      <c r="B942" s="10"/>
      <c r="C942" s="10"/>
      <c r="D942" s="10"/>
      <c r="E942" s="47"/>
      <c r="F942" s="10"/>
      <c r="G942" s="52"/>
      <c r="H942" s="10"/>
      <c r="I942" s="53"/>
      <c r="J942" s="54"/>
      <c r="K942" s="10"/>
      <c r="L942" s="10"/>
      <c r="M942" s="10"/>
    </row>
    <row r="943" ht="15.75" customHeight="1">
      <c r="A943" s="46"/>
      <c r="B943" s="10"/>
      <c r="C943" s="10"/>
      <c r="D943" s="10"/>
      <c r="E943" s="47"/>
      <c r="F943" s="10"/>
      <c r="G943" s="52"/>
      <c r="H943" s="10"/>
      <c r="I943" s="53"/>
      <c r="J943" s="54"/>
      <c r="K943" s="10"/>
      <c r="L943" s="10"/>
      <c r="M943" s="10"/>
    </row>
    <row r="944" ht="15.75" customHeight="1">
      <c r="A944" s="46"/>
      <c r="B944" s="10"/>
      <c r="C944" s="10"/>
      <c r="D944" s="10"/>
      <c r="E944" s="47"/>
      <c r="F944" s="10"/>
      <c r="G944" s="52"/>
      <c r="H944" s="10"/>
      <c r="I944" s="53"/>
      <c r="J944" s="54"/>
      <c r="K944" s="10"/>
      <c r="L944" s="10"/>
      <c r="M944" s="10"/>
    </row>
    <row r="945" ht="15.75" customHeight="1">
      <c r="A945" s="46"/>
      <c r="B945" s="10"/>
      <c r="C945" s="10"/>
      <c r="D945" s="10"/>
      <c r="E945" s="47"/>
      <c r="F945" s="10"/>
      <c r="G945" s="52"/>
      <c r="H945" s="10"/>
      <c r="I945" s="53"/>
      <c r="J945" s="54"/>
      <c r="K945" s="10"/>
      <c r="L945" s="10"/>
      <c r="M945" s="10"/>
    </row>
    <row r="946" ht="15.75" customHeight="1">
      <c r="A946" s="46"/>
      <c r="B946" s="10"/>
      <c r="C946" s="10"/>
      <c r="D946" s="10"/>
      <c r="E946" s="47"/>
      <c r="F946" s="10"/>
      <c r="G946" s="52"/>
      <c r="H946" s="10"/>
      <c r="I946" s="53"/>
      <c r="J946" s="54"/>
      <c r="K946" s="10"/>
      <c r="L946" s="10"/>
      <c r="M946" s="10"/>
    </row>
    <row r="947" ht="15.75" customHeight="1">
      <c r="A947" s="46"/>
      <c r="B947" s="10"/>
      <c r="C947" s="10"/>
      <c r="D947" s="10"/>
      <c r="E947" s="47"/>
      <c r="F947" s="10"/>
      <c r="G947" s="52"/>
      <c r="H947" s="10"/>
      <c r="I947" s="53"/>
      <c r="J947" s="54"/>
      <c r="K947" s="10"/>
      <c r="L947" s="10"/>
      <c r="M947" s="10"/>
    </row>
    <row r="948" ht="15.75" customHeight="1">
      <c r="A948" s="46"/>
      <c r="B948" s="10"/>
      <c r="C948" s="10"/>
      <c r="D948" s="10"/>
      <c r="E948" s="47"/>
      <c r="F948" s="10"/>
      <c r="G948" s="52"/>
      <c r="H948" s="10"/>
      <c r="I948" s="53"/>
      <c r="J948" s="54"/>
      <c r="K948" s="10"/>
      <c r="L948" s="10"/>
      <c r="M948" s="10"/>
    </row>
    <row r="949" ht="15.75" customHeight="1">
      <c r="A949" s="46"/>
      <c r="B949" s="10"/>
      <c r="C949" s="10"/>
      <c r="D949" s="10"/>
      <c r="E949" s="47"/>
      <c r="F949" s="10"/>
      <c r="G949" s="52"/>
      <c r="H949" s="10"/>
      <c r="I949" s="53"/>
      <c r="J949" s="54"/>
      <c r="K949" s="10"/>
      <c r="L949" s="10"/>
      <c r="M949" s="10"/>
    </row>
    <row r="950" ht="15.75" customHeight="1">
      <c r="A950" s="46"/>
      <c r="B950" s="10"/>
      <c r="C950" s="10"/>
      <c r="D950" s="10"/>
      <c r="E950" s="47"/>
      <c r="F950" s="10"/>
      <c r="G950" s="52"/>
      <c r="H950" s="10"/>
      <c r="I950" s="53"/>
      <c r="J950" s="54"/>
      <c r="K950" s="10"/>
      <c r="L950" s="10"/>
      <c r="M950" s="10"/>
    </row>
    <row r="951" ht="15.75" customHeight="1">
      <c r="A951" s="46"/>
      <c r="B951" s="10"/>
      <c r="C951" s="10"/>
      <c r="D951" s="10"/>
      <c r="E951" s="47"/>
      <c r="F951" s="10"/>
      <c r="G951" s="52"/>
      <c r="H951" s="10"/>
      <c r="I951" s="53"/>
      <c r="J951" s="54"/>
      <c r="K951" s="10"/>
      <c r="L951" s="10"/>
      <c r="M951" s="10"/>
    </row>
    <row r="952" ht="15.75" customHeight="1">
      <c r="A952" s="46"/>
      <c r="B952" s="10"/>
      <c r="C952" s="10"/>
      <c r="D952" s="10"/>
      <c r="E952" s="47"/>
      <c r="F952" s="10"/>
      <c r="G952" s="52"/>
      <c r="H952" s="10"/>
      <c r="I952" s="53"/>
      <c r="J952" s="54"/>
      <c r="K952" s="10"/>
      <c r="L952" s="10"/>
      <c r="M952" s="10"/>
    </row>
    <row r="953" ht="15.75" customHeight="1">
      <c r="A953" s="46"/>
      <c r="B953" s="10"/>
      <c r="C953" s="10"/>
      <c r="D953" s="10"/>
      <c r="E953" s="47"/>
      <c r="F953" s="10"/>
      <c r="G953" s="52"/>
      <c r="H953" s="10"/>
      <c r="I953" s="53"/>
      <c r="J953" s="54"/>
      <c r="K953" s="10"/>
      <c r="L953" s="10"/>
      <c r="M953" s="10"/>
    </row>
    <row r="954" ht="15.75" customHeight="1">
      <c r="A954" s="46"/>
      <c r="B954" s="10"/>
      <c r="C954" s="10"/>
      <c r="D954" s="10"/>
      <c r="E954" s="47"/>
      <c r="F954" s="10"/>
      <c r="G954" s="52"/>
      <c r="H954" s="10"/>
      <c r="I954" s="53"/>
      <c r="J954" s="54"/>
      <c r="K954" s="10"/>
      <c r="L954" s="10"/>
      <c r="M954" s="10"/>
    </row>
    <row r="955" ht="15.75" customHeight="1">
      <c r="A955" s="46"/>
      <c r="B955" s="10"/>
      <c r="C955" s="10"/>
      <c r="D955" s="10"/>
      <c r="E955" s="47"/>
      <c r="F955" s="10"/>
      <c r="G955" s="52"/>
      <c r="H955" s="10"/>
      <c r="I955" s="53"/>
      <c r="J955" s="54"/>
      <c r="K955" s="10"/>
      <c r="L955" s="10"/>
      <c r="M955" s="10"/>
    </row>
    <row r="956" ht="15.75" customHeight="1">
      <c r="A956" s="46"/>
      <c r="B956" s="10"/>
      <c r="C956" s="10"/>
      <c r="D956" s="10"/>
      <c r="E956" s="47"/>
      <c r="F956" s="10"/>
      <c r="G956" s="52"/>
      <c r="H956" s="10"/>
      <c r="I956" s="53"/>
      <c r="J956" s="54"/>
      <c r="K956" s="10"/>
      <c r="L956" s="10"/>
      <c r="M956" s="10"/>
    </row>
    <row r="957" ht="15.75" customHeight="1">
      <c r="A957" s="46"/>
      <c r="B957" s="10"/>
      <c r="C957" s="10"/>
      <c r="D957" s="10"/>
      <c r="E957" s="47"/>
      <c r="F957" s="10"/>
      <c r="G957" s="52"/>
      <c r="H957" s="10"/>
      <c r="I957" s="53"/>
      <c r="J957" s="54"/>
      <c r="K957" s="10"/>
      <c r="L957" s="10"/>
      <c r="M957" s="10"/>
    </row>
    <row r="958" ht="15.75" customHeight="1">
      <c r="A958" s="46"/>
      <c r="B958" s="10"/>
      <c r="C958" s="10"/>
      <c r="D958" s="10"/>
      <c r="E958" s="47"/>
      <c r="F958" s="10"/>
      <c r="G958" s="52"/>
      <c r="H958" s="10"/>
      <c r="I958" s="53"/>
      <c r="J958" s="54"/>
      <c r="K958" s="10"/>
      <c r="L958" s="10"/>
      <c r="M958" s="10"/>
    </row>
    <row r="959" ht="15.75" customHeight="1">
      <c r="A959" s="46"/>
      <c r="B959" s="10"/>
      <c r="C959" s="10"/>
      <c r="D959" s="10"/>
      <c r="E959" s="47"/>
      <c r="F959" s="10"/>
      <c r="G959" s="52"/>
      <c r="H959" s="10"/>
      <c r="I959" s="53"/>
      <c r="J959" s="54"/>
      <c r="K959" s="10"/>
      <c r="L959" s="10"/>
      <c r="M959" s="10"/>
    </row>
    <row r="960" ht="15.75" customHeight="1">
      <c r="A960" s="46"/>
      <c r="B960" s="10"/>
      <c r="C960" s="10"/>
      <c r="D960" s="10"/>
      <c r="E960" s="47"/>
      <c r="F960" s="10"/>
      <c r="G960" s="52"/>
      <c r="H960" s="10"/>
      <c r="I960" s="53"/>
      <c r="J960" s="54"/>
      <c r="K960" s="10"/>
      <c r="L960" s="10"/>
      <c r="M960" s="10"/>
    </row>
    <row r="961" ht="15.75" customHeight="1">
      <c r="A961" s="46"/>
      <c r="B961" s="10"/>
      <c r="C961" s="10"/>
      <c r="D961" s="10"/>
      <c r="E961" s="47"/>
      <c r="F961" s="10"/>
      <c r="G961" s="52"/>
      <c r="H961" s="10"/>
      <c r="I961" s="53"/>
      <c r="J961" s="54"/>
      <c r="K961" s="10"/>
      <c r="L961" s="10"/>
      <c r="M961" s="10"/>
    </row>
    <row r="962" ht="15.75" customHeight="1">
      <c r="A962" s="46"/>
      <c r="B962" s="10"/>
      <c r="C962" s="10"/>
      <c r="D962" s="10"/>
      <c r="E962" s="47"/>
      <c r="F962" s="10"/>
      <c r="G962" s="52"/>
      <c r="H962" s="10"/>
      <c r="I962" s="53"/>
      <c r="J962" s="54"/>
      <c r="K962" s="10"/>
      <c r="L962" s="10"/>
      <c r="M962" s="10"/>
    </row>
    <row r="963" ht="15.75" customHeight="1">
      <c r="A963" s="46"/>
      <c r="B963" s="10"/>
      <c r="C963" s="10"/>
      <c r="D963" s="10"/>
      <c r="E963" s="47"/>
      <c r="F963" s="10"/>
      <c r="G963" s="52"/>
      <c r="H963" s="10"/>
      <c r="I963" s="53"/>
      <c r="J963" s="54"/>
      <c r="K963" s="10"/>
      <c r="L963" s="10"/>
      <c r="M963" s="10"/>
    </row>
    <row r="964" ht="15.75" customHeight="1">
      <c r="A964" s="46"/>
      <c r="B964" s="10"/>
      <c r="C964" s="10"/>
      <c r="D964" s="10"/>
      <c r="E964" s="47"/>
      <c r="F964" s="10"/>
      <c r="G964" s="52"/>
      <c r="H964" s="10"/>
      <c r="I964" s="53"/>
      <c r="J964" s="54"/>
      <c r="K964" s="10"/>
      <c r="L964" s="10"/>
      <c r="M964" s="10"/>
    </row>
    <row r="965" ht="15.75" customHeight="1">
      <c r="A965" s="46"/>
      <c r="B965" s="10"/>
      <c r="C965" s="10"/>
      <c r="D965" s="10"/>
      <c r="E965" s="47"/>
      <c r="F965" s="10"/>
      <c r="G965" s="52"/>
      <c r="H965" s="10"/>
      <c r="I965" s="53"/>
      <c r="J965" s="54"/>
      <c r="K965" s="10"/>
      <c r="L965" s="10"/>
      <c r="M965" s="10"/>
    </row>
    <row r="966" ht="15.75" customHeight="1">
      <c r="A966" s="46"/>
      <c r="B966" s="10"/>
      <c r="C966" s="10"/>
      <c r="D966" s="10"/>
      <c r="E966" s="47"/>
      <c r="F966" s="10"/>
      <c r="G966" s="52"/>
      <c r="H966" s="10"/>
      <c r="I966" s="53"/>
      <c r="J966" s="54"/>
      <c r="K966" s="10"/>
      <c r="L966" s="10"/>
      <c r="M966" s="10"/>
    </row>
    <row r="967" ht="15.75" customHeight="1">
      <c r="A967" s="46"/>
      <c r="B967" s="10"/>
      <c r="C967" s="10"/>
      <c r="D967" s="10"/>
      <c r="E967" s="47"/>
      <c r="F967" s="10"/>
      <c r="G967" s="52"/>
      <c r="H967" s="10"/>
      <c r="I967" s="53"/>
      <c r="J967" s="54"/>
      <c r="K967" s="10"/>
      <c r="L967" s="10"/>
      <c r="M967" s="10"/>
    </row>
    <row r="968" ht="15.75" customHeight="1">
      <c r="A968" s="46"/>
      <c r="B968" s="10"/>
      <c r="C968" s="10"/>
      <c r="D968" s="10"/>
      <c r="E968" s="47"/>
      <c r="F968" s="10"/>
      <c r="G968" s="52"/>
      <c r="H968" s="10"/>
      <c r="I968" s="53"/>
      <c r="J968" s="54"/>
      <c r="K968" s="10"/>
      <c r="L968" s="10"/>
      <c r="M968" s="10"/>
    </row>
    <row r="969" ht="15.75" customHeight="1">
      <c r="A969" s="46"/>
      <c r="B969" s="10"/>
      <c r="C969" s="10"/>
      <c r="D969" s="10"/>
      <c r="E969" s="47"/>
      <c r="F969" s="10"/>
      <c r="G969" s="52"/>
      <c r="H969" s="10"/>
      <c r="I969" s="53"/>
      <c r="J969" s="54"/>
      <c r="K969" s="10"/>
      <c r="L969" s="10"/>
      <c r="M969" s="10"/>
    </row>
    <row r="970" ht="15.75" customHeight="1">
      <c r="A970" s="46"/>
      <c r="B970" s="10"/>
      <c r="C970" s="10"/>
      <c r="D970" s="10"/>
      <c r="E970" s="47"/>
      <c r="F970" s="10"/>
      <c r="G970" s="52"/>
      <c r="H970" s="10"/>
      <c r="I970" s="53"/>
      <c r="J970" s="54"/>
      <c r="K970" s="10"/>
      <c r="L970" s="10"/>
      <c r="M970" s="10"/>
    </row>
    <row r="971" ht="15.75" customHeight="1">
      <c r="A971" s="46"/>
      <c r="B971" s="10"/>
      <c r="C971" s="10"/>
      <c r="D971" s="10"/>
      <c r="E971" s="47"/>
      <c r="F971" s="10"/>
      <c r="G971" s="52"/>
      <c r="H971" s="10"/>
      <c r="I971" s="53"/>
      <c r="J971" s="54"/>
      <c r="K971" s="10"/>
      <c r="L971" s="10"/>
      <c r="M971" s="10"/>
    </row>
    <row r="972" ht="15.75" customHeight="1">
      <c r="A972" s="46"/>
      <c r="B972" s="10"/>
      <c r="C972" s="10"/>
      <c r="D972" s="10"/>
      <c r="E972" s="47"/>
      <c r="F972" s="10"/>
      <c r="G972" s="52"/>
      <c r="H972" s="10"/>
      <c r="I972" s="53"/>
      <c r="J972" s="54"/>
      <c r="K972" s="10"/>
      <c r="L972" s="10"/>
      <c r="M972" s="10"/>
    </row>
    <row r="973" ht="15.75" customHeight="1">
      <c r="A973" s="46"/>
      <c r="B973" s="10"/>
      <c r="C973" s="10"/>
      <c r="D973" s="10"/>
      <c r="E973" s="47"/>
      <c r="F973" s="10"/>
      <c r="G973" s="52"/>
      <c r="H973" s="10"/>
      <c r="I973" s="53"/>
      <c r="J973" s="54"/>
      <c r="K973" s="10"/>
      <c r="L973" s="10"/>
      <c r="M973" s="10"/>
    </row>
    <row r="974" ht="15.75" customHeight="1">
      <c r="A974" s="46"/>
      <c r="B974" s="10"/>
      <c r="C974" s="10"/>
      <c r="D974" s="10"/>
      <c r="E974" s="47"/>
      <c r="F974" s="10"/>
      <c r="G974" s="52"/>
      <c r="H974" s="10"/>
      <c r="I974" s="53"/>
      <c r="J974" s="54"/>
      <c r="K974" s="10"/>
      <c r="L974" s="10"/>
      <c r="M974" s="10"/>
    </row>
    <row r="975" ht="15.75" customHeight="1">
      <c r="A975" s="46"/>
      <c r="B975" s="10"/>
      <c r="C975" s="10"/>
      <c r="D975" s="10"/>
      <c r="E975" s="47"/>
      <c r="F975" s="10"/>
      <c r="G975" s="52"/>
      <c r="H975" s="10"/>
      <c r="I975" s="53"/>
      <c r="J975" s="54"/>
      <c r="K975" s="10"/>
      <c r="L975" s="10"/>
      <c r="M975" s="10"/>
    </row>
    <row r="976" ht="15.75" customHeight="1">
      <c r="A976" s="46"/>
      <c r="B976" s="10"/>
      <c r="C976" s="10"/>
      <c r="D976" s="10"/>
      <c r="E976" s="47"/>
      <c r="F976" s="10"/>
      <c r="G976" s="52"/>
      <c r="H976" s="10"/>
      <c r="I976" s="53"/>
      <c r="J976" s="54"/>
      <c r="K976" s="10"/>
      <c r="L976" s="10"/>
      <c r="M976" s="10"/>
    </row>
    <row r="977" ht="15.75" customHeight="1">
      <c r="A977" s="46"/>
      <c r="B977" s="10"/>
      <c r="C977" s="10"/>
      <c r="D977" s="10"/>
      <c r="E977" s="47"/>
      <c r="F977" s="10"/>
      <c r="G977" s="52"/>
      <c r="H977" s="10"/>
      <c r="I977" s="53"/>
      <c r="J977" s="54"/>
      <c r="K977" s="10"/>
      <c r="L977" s="10"/>
      <c r="M977" s="10"/>
    </row>
    <row r="978" ht="15.75" customHeight="1">
      <c r="A978" s="46"/>
      <c r="B978" s="10"/>
      <c r="C978" s="10"/>
      <c r="D978" s="10"/>
      <c r="E978" s="47"/>
      <c r="F978" s="10"/>
      <c r="G978" s="52"/>
      <c r="H978" s="10"/>
      <c r="I978" s="53"/>
      <c r="J978" s="54"/>
      <c r="K978" s="10"/>
      <c r="L978" s="10"/>
      <c r="M978" s="10"/>
    </row>
    <row r="979" ht="15.75" customHeight="1">
      <c r="A979" s="46"/>
      <c r="B979" s="10"/>
      <c r="C979" s="10"/>
      <c r="D979" s="10"/>
      <c r="E979" s="47"/>
      <c r="F979" s="10"/>
      <c r="G979" s="52"/>
      <c r="H979" s="10"/>
      <c r="I979" s="53"/>
      <c r="J979" s="54"/>
      <c r="K979" s="10"/>
      <c r="L979" s="10"/>
      <c r="M979" s="10"/>
    </row>
    <row r="980" ht="15.75" customHeight="1">
      <c r="A980" s="46"/>
      <c r="B980" s="10"/>
      <c r="C980" s="10"/>
      <c r="D980" s="10"/>
      <c r="E980" s="47"/>
      <c r="F980" s="10"/>
      <c r="G980" s="52"/>
      <c r="H980" s="10"/>
      <c r="I980" s="53"/>
      <c r="J980" s="54"/>
      <c r="K980" s="10"/>
      <c r="L980" s="10"/>
      <c r="M980" s="10"/>
    </row>
    <row r="981" ht="15.75" customHeight="1">
      <c r="A981" s="46"/>
      <c r="B981" s="10"/>
      <c r="C981" s="10"/>
      <c r="D981" s="10"/>
      <c r="E981" s="47"/>
      <c r="F981" s="10"/>
      <c r="G981" s="52"/>
      <c r="H981" s="10"/>
      <c r="I981" s="53"/>
      <c r="J981" s="54"/>
      <c r="K981" s="10"/>
      <c r="L981" s="10"/>
      <c r="M981" s="10"/>
    </row>
    <row r="982" ht="15.75" customHeight="1">
      <c r="A982" s="46"/>
      <c r="B982" s="10"/>
      <c r="C982" s="10"/>
      <c r="D982" s="10"/>
      <c r="E982" s="47"/>
      <c r="F982" s="10"/>
      <c r="G982" s="52"/>
      <c r="H982" s="10"/>
      <c r="I982" s="53"/>
      <c r="J982" s="54"/>
      <c r="K982" s="10"/>
      <c r="L982" s="10"/>
      <c r="M982" s="10"/>
    </row>
    <row r="983" ht="15.75" customHeight="1">
      <c r="A983" s="46"/>
      <c r="B983" s="10"/>
      <c r="C983" s="10"/>
      <c r="D983" s="10"/>
      <c r="E983" s="47"/>
      <c r="F983" s="10"/>
      <c r="G983" s="52"/>
      <c r="H983" s="10"/>
      <c r="I983" s="53"/>
      <c r="J983" s="54"/>
      <c r="K983" s="10"/>
      <c r="L983" s="10"/>
      <c r="M983" s="10"/>
    </row>
    <row r="984" ht="15.75" customHeight="1">
      <c r="A984" s="46"/>
      <c r="B984" s="10"/>
      <c r="C984" s="10"/>
      <c r="D984" s="10"/>
      <c r="E984" s="47"/>
      <c r="F984" s="10"/>
      <c r="G984" s="52"/>
      <c r="H984" s="10"/>
      <c r="I984" s="53"/>
      <c r="J984" s="54"/>
      <c r="K984" s="10"/>
      <c r="L984" s="10"/>
      <c r="M984" s="10"/>
    </row>
    <row r="985" ht="15.75" customHeight="1">
      <c r="A985" s="46"/>
      <c r="B985" s="10"/>
      <c r="C985" s="10"/>
      <c r="D985" s="10"/>
      <c r="E985" s="47"/>
      <c r="F985" s="10"/>
      <c r="G985" s="52"/>
      <c r="H985" s="10"/>
      <c r="I985" s="53"/>
      <c r="J985" s="54"/>
      <c r="K985" s="10"/>
      <c r="L985" s="10"/>
      <c r="M985" s="10"/>
    </row>
    <row r="986" ht="15.75" customHeight="1">
      <c r="A986" s="46"/>
      <c r="B986" s="10"/>
      <c r="C986" s="10"/>
      <c r="D986" s="10"/>
      <c r="E986" s="47"/>
      <c r="F986" s="10"/>
      <c r="G986" s="52"/>
      <c r="H986" s="10"/>
      <c r="I986" s="53"/>
      <c r="J986" s="54"/>
      <c r="K986" s="10"/>
      <c r="L986" s="10"/>
      <c r="M986" s="10"/>
    </row>
    <row r="987" ht="15.75" customHeight="1">
      <c r="A987" s="46"/>
      <c r="B987" s="10"/>
      <c r="C987" s="10"/>
      <c r="D987" s="10"/>
      <c r="E987" s="47"/>
      <c r="F987" s="10"/>
      <c r="G987" s="52"/>
      <c r="H987" s="10"/>
      <c r="I987" s="53"/>
      <c r="J987" s="54"/>
      <c r="K987" s="10"/>
      <c r="L987" s="10"/>
      <c r="M987" s="10"/>
    </row>
    <row r="988" ht="15.75" customHeight="1">
      <c r="A988" s="46"/>
      <c r="B988" s="10"/>
      <c r="C988" s="10"/>
      <c r="D988" s="10"/>
      <c r="E988" s="47"/>
      <c r="F988" s="10"/>
      <c r="G988" s="52"/>
      <c r="H988" s="10"/>
      <c r="I988" s="53"/>
      <c r="J988" s="54"/>
      <c r="K988" s="10"/>
      <c r="L988" s="10"/>
      <c r="M988" s="10"/>
    </row>
    <row r="989" ht="15.75" customHeight="1">
      <c r="A989" s="46"/>
      <c r="B989" s="10"/>
      <c r="C989" s="10"/>
      <c r="D989" s="10"/>
      <c r="E989" s="47"/>
      <c r="F989" s="10"/>
      <c r="G989" s="52"/>
      <c r="H989" s="10"/>
      <c r="I989" s="53"/>
      <c r="J989" s="54"/>
      <c r="K989" s="10"/>
      <c r="L989" s="10"/>
      <c r="M989" s="10"/>
    </row>
    <row r="990" ht="15.75" customHeight="1">
      <c r="A990" s="46"/>
      <c r="B990" s="10"/>
      <c r="C990" s="10"/>
      <c r="D990" s="10"/>
      <c r="E990" s="47"/>
      <c r="F990" s="10"/>
      <c r="G990" s="52"/>
      <c r="H990" s="10"/>
      <c r="I990" s="53"/>
      <c r="J990" s="54"/>
      <c r="K990" s="10"/>
      <c r="L990" s="10"/>
      <c r="M990" s="10"/>
    </row>
    <row r="991" ht="15.75" customHeight="1">
      <c r="A991" s="46"/>
      <c r="B991" s="10"/>
      <c r="C991" s="10"/>
      <c r="D991" s="10"/>
      <c r="E991" s="47"/>
      <c r="F991" s="10"/>
      <c r="G991" s="52"/>
      <c r="H991" s="10"/>
      <c r="I991" s="53"/>
      <c r="J991" s="54"/>
      <c r="K991" s="10"/>
      <c r="L991" s="10"/>
      <c r="M991" s="10"/>
    </row>
    <row r="992" ht="15.75" customHeight="1">
      <c r="A992" s="46"/>
      <c r="B992" s="10"/>
      <c r="C992" s="10"/>
      <c r="D992" s="10"/>
      <c r="E992" s="47"/>
      <c r="F992" s="10"/>
      <c r="G992" s="52"/>
      <c r="H992" s="10"/>
      <c r="I992" s="53"/>
      <c r="J992" s="54"/>
      <c r="K992" s="10"/>
      <c r="L992" s="10"/>
      <c r="M992" s="10"/>
    </row>
    <row r="993" ht="15.75" customHeight="1">
      <c r="A993" s="46"/>
      <c r="B993" s="10"/>
      <c r="C993" s="10"/>
      <c r="D993" s="10"/>
      <c r="E993" s="47"/>
      <c r="F993" s="10"/>
      <c r="G993" s="52"/>
      <c r="H993" s="10"/>
      <c r="I993" s="53"/>
      <c r="J993" s="54"/>
      <c r="K993" s="10"/>
      <c r="L993" s="10"/>
      <c r="M993" s="10"/>
    </row>
    <row r="994" ht="15.75" customHeight="1">
      <c r="A994" s="46"/>
      <c r="B994" s="10"/>
      <c r="C994" s="10"/>
      <c r="D994" s="10"/>
      <c r="E994" s="47"/>
      <c r="F994" s="10"/>
      <c r="G994" s="52"/>
      <c r="H994" s="10"/>
      <c r="I994" s="53"/>
      <c r="J994" s="54"/>
      <c r="K994" s="10"/>
      <c r="L994" s="10"/>
      <c r="M994" s="10"/>
    </row>
    <row r="995" ht="15.75" customHeight="1">
      <c r="A995" s="46"/>
      <c r="B995" s="10"/>
      <c r="C995" s="10"/>
      <c r="D995" s="10"/>
      <c r="E995" s="47"/>
      <c r="F995" s="10"/>
      <c r="G995" s="52"/>
      <c r="H995" s="10"/>
      <c r="I995" s="53"/>
      <c r="J995" s="54"/>
      <c r="K995" s="10"/>
      <c r="L995" s="10"/>
      <c r="M995" s="10"/>
    </row>
    <row r="996" ht="15.75" customHeight="1">
      <c r="A996" s="46"/>
      <c r="B996" s="10"/>
      <c r="C996" s="10"/>
      <c r="D996" s="10"/>
      <c r="E996" s="47"/>
      <c r="F996" s="10"/>
      <c r="G996" s="52"/>
      <c r="H996" s="10"/>
      <c r="I996" s="53"/>
      <c r="J996" s="54"/>
      <c r="K996" s="10"/>
      <c r="L996" s="10"/>
      <c r="M996" s="10"/>
    </row>
    <row r="997" ht="15.75" customHeight="1">
      <c r="A997" s="46"/>
      <c r="B997" s="10"/>
      <c r="C997" s="10"/>
      <c r="D997" s="10"/>
      <c r="E997" s="47"/>
      <c r="F997" s="10"/>
      <c r="G997" s="52"/>
      <c r="H997" s="10"/>
      <c r="I997" s="53"/>
      <c r="J997" s="54"/>
      <c r="K997" s="10"/>
      <c r="L997" s="10"/>
      <c r="M997" s="10"/>
    </row>
    <row r="998" ht="15.75" customHeight="1">
      <c r="A998" s="46"/>
      <c r="B998" s="10"/>
      <c r="C998" s="10"/>
      <c r="D998" s="10"/>
      <c r="E998" s="47"/>
      <c r="F998" s="10"/>
      <c r="G998" s="52"/>
      <c r="H998" s="10"/>
      <c r="I998" s="53"/>
      <c r="J998" s="54"/>
      <c r="K998" s="10"/>
      <c r="L998" s="10"/>
      <c r="M998" s="10"/>
    </row>
    <row r="999" ht="15.75" customHeight="1">
      <c r="A999" s="46"/>
      <c r="B999" s="10"/>
      <c r="C999" s="10"/>
      <c r="D999" s="10"/>
      <c r="E999" s="47"/>
      <c r="F999" s="10"/>
      <c r="G999" s="52"/>
      <c r="H999" s="10"/>
      <c r="I999" s="53"/>
      <c r="J999" s="54"/>
      <c r="K999" s="10"/>
      <c r="L999" s="10"/>
      <c r="M999" s="10"/>
    </row>
    <row r="1000" ht="15.75" customHeight="1">
      <c r="A1000" s="46"/>
      <c r="B1000" s="10"/>
      <c r="C1000" s="10"/>
      <c r="D1000" s="10"/>
      <c r="E1000" s="47"/>
      <c r="F1000" s="10"/>
      <c r="G1000" s="52"/>
      <c r="H1000" s="10"/>
      <c r="I1000" s="53"/>
      <c r="J1000" s="54"/>
      <c r="K1000" s="10"/>
      <c r="L1000" s="10"/>
      <c r="M1000" s="10"/>
    </row>
    <row r="1001" ht="15.75" customHeight="1">
      <c r="A1001" s="46"/>
      <c r="B1001" s="10"/>
      <c r="C1001" s="10"/>
      <c r="D1001" s="10"/>
      <c r="E1001" s="52"/>
      <c r="F1001" s="10"/>
      <c r="G1001" s="52"/>
      <c r="H1001" s="10"/>
      <c r="I1001" s="53"/>
      <c r="J1001" s="54"/>
      <c r="K1001" s="10"/>
      <c r="L1001" s="10"/>
      <c r="M1001" s="10"/>
    </row>
  </sheetData>
  <hyperlinks>
    <hyperlink r:id="rId1" ref="M3"/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1"/>
    <hyperlink r:id="rId10" ref="M12"/>
    <hyperlink r:id="rId11" ref="M13"/>
    <hyperlink r:id="rId12" ref="M14"/>
    <hyperlink r:id="rId13" ref="M15"/>
    <hyperlink r:id="rId14" ref="M16"/>
    <hyperlink r:id="rId15" ref="M17"/>
    <hyperlink r:id="rId16" ref="M18"/>
    <hyperlink r:id="rId17" ref="M19"/>
    <hyperlink r:id="rId18" ref="M20"/>
    <hyperlink r:id="rId19" ref="M21"/>
    <hyperlink r:id="rId20" ref="M22"/>
    <hyperlink r:id="rId21" ref="M23"/>
    <hyperlink r:id="rId22" ref="M24"/>
    <hyperlink r:id="rId23" ref="M25"/>
    <hyperlink r:id="rId24" ref="M26"/>
    <hyperlink r:id="rId25" ref="M27"/>
    <hyperlink r:id="rId26" ref="M28"/>
    <hyperlink r:id="rId27" ref="M29"/>
    <hyperlink r:id="rId28" ref="M30"/>
    <hyperlink r:id="rId29" ref="M31"/>
    <hyperlink r:id="rId30" ref="M32"/>
    <hyperlink r:id="rId31" ref="M33"/>
    <hyperlink r:id="rId32" ref="M34"/>
    <hyperlink r:id="rId33" ref="M35"/>
    <hyperlink r:id="rId34" ref="M36"/>
    <hyperlink r:id="rId35" ref="M37"/>
    <hyperlink r:id="rId36" ref="M38"/>
    <hyperlink r:id="rId37" ref="M39"/>
    <hyperlink r:id="rId38" ref="M40"/>
    <hyperlink r:id="rId39" ref="M41"/>
    <hyperlink r:id="rId40" ref="M42"/>
    <hyperlink r:id="rId41" ref="M43"/>
    <hyperlink r:id="rId42" ref="M44"/>
    <hyperlink r:id="rId43" ref="M45"/>
    <hyperlink r:id="rId44" ref="M46"/>
    <hyperlink r:id="rId45" ref="M47"/>
    <hyperlink r:id="rId46" ref="M48"/>
    <hyperlink r:id="rId47" ref="M49"/>
    <hyperlink r:id="rId48" ref="M51"/>
    <hyperlink r:id="rId49" ref="M53"/>
    <hyperlink r:id="rId50" ref="M54"/>
    <hyperlink r:id="rId51" ref="M55"/>
    <hyperlink r:id="rId52" ref="M56"/>
    <hyperlink r:id="rId53" ref="M57"/>
    <hyperlink r:id="rId54" ref="M58"/>
    <hyperlink r:id="rId55" ref="M59"/>
    <hyperlink r:id="rId56" ref="M64"/>
    <hyperlink r:id="rId57" ref="M67"/>
    <hyperlink r:id="rId58" ref="M69"/>
    <hyperlink r:id="rId59" ref="M70"/>
    <hyperlink r:id="rId60" ref="M71"/>
    <hyperlink r:id="rId61" ref="M72"/>
    <hyperlink r:id="rId62" ref="M75"/>
    <hyperlink r:id="rId63" ref="M76"/>
    <hyperlink r:id="rId64" ref="M77"/>
  </hyperlinks>
  <printOptions/>
  <pageMargins bottom="0.75" footer="0.0" header="0.0" left="0.7" right="0.7" top="0.75"/>
  <pageSetup orientation="landscape"/>
  <drawing r:id="rId6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0.0"/>
    <col customWidth="1" min="8" max="8" width="17.33"/>
    <col customWidth="1" min="9" max="9" width="17.0"/>
    <col customWidth="1" min="10" max="10" width="18.22"/>
    <col customWidth="1" min="11" max="11" width="15.11"/>
    <col customWidth="1" min="14" max="14" width="14.67"/>
  </cols>
  <sheetData>
    <row r="1">
      <c r="A1" s="56" t="s">
        <v>514</v>
      </c>
      <c r="B1" s="1" t="s">
        <v>515</v>
      </c>
      <c r="C1" s="56" t="s">
        <v>516</v>
      </c>
      <c r="D1" s="56" t="s">
        <v>517</v>
      </c>
      <c r="E1" s="56" t="s">
        <v>518</v>
      </c>
      <c r="F1" s="56" t="s">
        <v>519</v>
      </c>
      <c r="G1" s="56" t="s">
        <v>520</v>
      </c>
      <c r="H1" s="1" t="s">
        <v>521</v>
      </c>
      <c r="I1" s="1" t="s">
        <v>522</v>
      </c>
      <c r="J1" s="1" t="s">
        <v>523</v>
      </c>
      <c r="K1" s="1" t="s">
        <v>524</v>
      </c>
      <c r="L1" s="1" t="s">
        <v>525</v>
      </c>
      <c r="M1" s="1" t="s">
        <v>526</v>
      </c>
      <c r="N1" s="1" t="s">
        <v>527</v>
      </c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>
      <c r="A2" s="9" t="s">
        <v>528</v>
      </c>
      <c r="B2" s="40" t="str">
        <f t="shared" ref="B2:B153" si="1">MID(A2,FIND(".",A2) + 1,FIND(CHAR(160),SUBSTITUTE(A2,".",CHAR(160),2)) - 1 - (FIND(".",A2)))</f>
        <v>Qalba</v>
      </c>
      <c r="C2" s="9">
        <v>7.3298269E7</v>
      </c>
      <c r="D2" s="9">
        <v>3.7086882E7</v>
      </c>
      <c r="E2" s="9">
        <v>3.2524616E7</v>
      </c>
      <c r="F2" s="9">
        <v>0.0</v>
      </c>
      <c r="G2" s="9">
        <v>6.40600214E8</v>
      </c>
      <c r="H2" s="18">
        <f t="shared" ref="H2:H153" si="2">sum(C2:G2)</f>
        <v>783509981</v>
      </c>
      <c r="I2" s="58">
        <f t="shared" ref="I2:I153" si="3">C2/H2*100</f>
        <v>9.355116179</v>
      </c>
      <c r="J2" s="58">
        <f t="shared" ref="J2:J153" si="4">D2/H2*100</f>
        <v>4.73342815</v>
      </c>
      <c r="K2" s="58">
        <f t="shared" ref="K2:K153" si="5">E2/H2*100</f>
        <v>4.151142524</v>
      </c>
      <c r="L2" s="58">
        <f t="shared" ref="L2:L153" si="6">F2/H2*100</f>
        <v>0</v>
      </c>
      <c r="M2" s="58">
        <f t="shared" ref="M2:M153" si="7">G2/H2*100</f>
        <v>81.76031315</v>
      </c>
      <c r="N2" s="58">
        <f t="shared" ref="N2:N153" si="8">100-M2</f>
        <v>18.23968685</v>
      </c>
    </row>
    <row r="3">
      <c r="A3" s="9" t="s">
        <v>529</v>
      </c>
      <c r="B3" s="9" t="str">
        <f t="shared" si="1"/>
        <v>Qalba</v>
      </c>
      <c r="C3" s="9">
        <v>3.03226357E8</v>
      </c>
      <c r="D3" s="9">
        <v>7.8243019E7</v>
      </c>
      <c r="E3" s="9">
        <v>1.29076924E8</v>
      </c>
      <c r="F3" s="9">
        <v>0.0</v>
      </c>
      <c r="G3" s="9">
        <v>2.72963681E8</v>
      </c>
      <c r="H3" s="18">
        <f t="shared" si="2"/>
        <v>783509981</v>
      </c>
      <c r="I3" s="58">
        <f t="shared" si="3"/>
        <v>38.70102033</v>
      </c>
      <c r="J3" s="58">
        <f t="shared" si="4"/>
        <v>9.986218542</v>
      </c>
      <c r="K3" s="58">
        <f t="shared" si="5"/>
        <v>16.47419014</v>
      </c>
      <c r="L3" s="58">
        <f t="shared" si="6"/>
        <v>0</v>
      </c>
      <c r="M3" s="58">
        <f t="shared" si="7"/>
        <v>34.838571</v>
      </c>
      <c r="N3" s="58">
        <f t="shared" si="8"/>
        <v>65.161429</v>
      </c>
    </row>
    <row r="4">
      <c r="A4" s="9" t="s">
        <v>530</v>
      </c>
      <c r="B4" s="9" t="str">
        <f t="shared" si="1"/>
        <v>Qalba</v>
      </c>
      <c r="C4" s="9">
        <v>1.33879345E8</v>
      </c>
      <c r="D4" s="9">
        <v>9.8883911E7</v>
      </c>
      <c r="E4" s="9">
        <v>9.5125241E7</v>
      </c>
      <c r="F4" s="9">
        <v>0.0</v>
      </c>
      <c r="G4" s="9">
        <v>4.55621484E8</v>
      </c>
      <c r="H4" s="18">
        <f t="shared" si="2"/>
        <v>783509981</v>
      </c>
      <c r="I4" s="58">
        <f t="shared" si="3"/>
        <v>17.08712693</v>
      </c>
      <c r="J4" s="58">
        <f t="shared" si="4"/>
        <v>12.62063195</v>
      </c>
      <c r="K4" s="58">
        <f t="shared" si="5"/>
        <v>12.14090992</v>
      </c>
      <c r="L4" s="58">
        <f t="shared" si="6"/>
        <v>0</v>
      </c>
      <c r="M4" s="58">
        <f t="shared" si="7"/>
        <v>58.1513312</v>
      </c>
      <c r="N4" s="58">
        <f t="shared" si="8"/>
        <v>41.8486688</v>
      </c>
    </row>
    <row r="5">
      <c r="A5" s="9" t="s">
        <v>531</v>
      </c>
      <c r="B5" s="9" t="str">
        <f t="shared" si="1"/>
        <v>Qalba</v>
      </c>
      <c r="C5" s="9">
        <v>3.15031178E8</v>
      </c>
      <c r="D5" s="9">
        <v>8.7034577E7</v>
      </c>
      <c r="E5" s="9">
        <v>1.66565585E8</v>
      </c>
      <c r="F5" s="9">
        <v>0.0</v>
      </c>
      <c r="G5" s="9">
        <v>2.14878641E8</v>
      </c>
      <c r="H5" s="18">
        <f t="shared" si="2"/>
        <v>783509981</v>
      </c>
      <c r="I5" s="58">
        <f t="shared" si="3"/>
        <v>40.20767899</v>
      </c>
      <c r="J5" s="58">
        <f t="shared" si="4"/>
        <v>11.10829206</v>
      </c>
      <c r="K5" s="58">
        <f t="shared" si="5"/>
        <v>21.25889766</v>
      </c>
      <c r="L5" s="58">
        <f t="shared" si="6"/>
        <v>0</v>
      </c>
      <c r="M5" s="58">
        <f t="shared" si="7"/>
        <v>27.4251313</v>
      </c>
      <c r="N5" s="58">
        <f t="shared" si="8"/>
        <v>72.5748687</v>
      </c>
    </row>
    <row r="6">
      <c r="A6" s="9" t="s">
        <v>532</v>
      </c>
      <c r="B6" s="9" t="str">
        <f t="shared" si="1"/>
        <v>Qalba</v>
      </c>
      <c r="C6" s="9">
        <v>3.10959469E8</v>
      </c>
      <c r="D6" s="9">
        <v>8.6710691E7</v>
      </c>
      <c r="E6" s="9">
        <v>1.56895558E8</v>
      </c>
      <c r="F6" s="9">
        <v>0.0</v>
      </c>
      <c r="G6" s="9">
        <v>2.28944263E8</v>
      </c>
      <c r="H6" s="18">
        <f t="shared" si="2"/>
        <v>783509981</v>
      </c>
      <c r="I6" s="58">
        <f t="shared" si="3"/>
        <v>39.68800354</v>
      </c>
      <c r="J6" s="58">
        <f t="shared" si="4"/>
        <v>11.06695423</v>
      </c>
      <c r="K6" s="58">
        <f t="shared" si="5"/>
        <v>20.02470445</v>
      </c>
      <c r="L6" s="58">
        <f t="shared" si="6"/>
        <v>0</v>
      </c>
      <c r="M6" s="58">
        <f t="shared" si="7"/>
        <v>29.22033778</v>
      </c>
      <c r="N6" s="58">
        <f t="shared" si="8"/>
        <v>70.77966222</v>
      </c>
    </row>
    <row r="7">
      <c r="A7" s="9" t="s">
        <v>533</v>
      </c>
      <c r="B7" s="9" t="str">
        <f t="shared" si="1"/>
        <v>Qalba</v>
      </c>
      <c r="C7" s="9">
        <v>3.17229283E8</v>
      </c>
      <c r="D7" s="9">
        <v>8.5465857E7</v>
      </c>
      <c r="E7" s="9">
        <v>1.61105336E8</v>
      </c>
      <c r="F7" s="9">
        <v>0.0</v>
      </c>
      <c r="G7" s="9">
        <v>2.19709505E8</v>
      </c>
      <c r="H7" s="18">
        <f t="shared" si="2"/>
        <v>783509981</v>
      </c>
      <c r="I7" s="58">
        <f t="shared" si="3"/>
        <v>40.48822487</v>
      </c>
      <c r="J7" s="58">
        <f t="shared" si="4"/>
        <v>10.90807508</v>
      </c>
      <c r="K7" s="58">
        <f t="shared" si="5"/>
        <v>20.56200175</v>
      </c>
      <c r="L7" s="58">
        <f t="shared" si="6"/>
        <v>0</v>
      </c>
      <c r="M7" s="58">
        <f t="shared" si="7"/>
        <v>28.0416983</v>
      </c>
      <c r="N7" s="58">
        <f t="shared" si="8"/>
        <v>71.9583017</v>
      </c>
    </row>
    <row r="8">
      <c r="A8" s="9" t="s">
        <v>534</v>
      </c>
      <c r="B8" s="9" t="str">
        <f t="shared" si="1"/>
        <v>Qalba</v>
      </c>
      <c r="C8" s="9">
        <v>2.82598345E8</v>
      </c>
      <c r="D8" s="9">
        <v>7.1887151E7</v>
      </c>
      <c r="E8" s="9">
        <v>8.5870041E7</v>
      </c>
      <c r="F8" s="9">
        <v>0.0</v>
      </c>
      <c r="G8" s="9">
        <v>3.43154444E8</v>
      </c>
      <c r="H8" s="18">
        <f t="shared" si="2"/>
        <v>783509981</v>
      </c>
      <c r="I8" s="58">
        <f t="shared" si="3"/>
        <v>36.0682508</v>
      </c>
      <c r="J8" s="58">
        <f t="shared" si="4"/>
        <v>9.17501407</v>
      </c>
      <c r="K8" s="58">
        <f t="shared" si="5"/>
        <v>10.95966141</v>
      </c>
      <c r="L8" s="58">
        <f t="shared" si="6"/>
        <v>0</v>
      </c>
      <c r="M8" s="58">
        <f t="shared" si="7"/>
        <v>43.79707372</v>
      </c>
      <c r="N8" s="58">
        <f t="shared" si="8"/>
        <v>56.20292628</v>
      </c>
    </row>
    <row r="9">
      <c r="A9" s="9" t="s">
        <v>535</v>
      </c>
      <c r="B9" s="9" t="str">
        <f t="shared" si="1"/>
        <v>Qalba</v>
      </c>
      <c r="C9" s="9">
        <v>2.75914566E8</v>
      </c>
      <c r="D9" s="9">
        <v>6.373293E7</v>
      </c>
      <c r="E9" s="9">
        <v>8.058474E7</v>
      </c>
      <c r="F9" s="9">
        <v>0.0</v>
      </c>
      <c r="G9" s="9">
        <v>3.63277745E8</v>
      </c>
      <c r="H9" s="18">
        <f t="shared" si="2"/>
        <v>783509981</v>
      </c>
      <c r="I9" s="58">
        <f t="shared" si="3"/>
        <v>35.21519479</v>
      </c>
      <c r="J9" s="58">
        <f t="shared" si="4"/>
        <v>8.13428438</v>
      </c>
      <c r="K9" s="58">
        <f t="shared" si="5"/>
        <v>10.28509425</v>
      </c>
      <c r="L9" s="58">
        <f t="shared" si="6"/>
        <v>0</v>
      </c>
      <c r="M9" s="58">
        <f t="shared" si="7"/>
        <v>46.36542658</v>
      </c>
      <c r="N9" s="58">
        <f t="shared" si="8"/>
        <v>53.63457342</v>
      </c>
    </row>
    <row r="10">
      <c r="A10" s="9" t="s">
        <v>536</v>
      </c>
      <c r="B10" s="9" t="str">
        <f t="shared" si="1"/>
        <v>Qalba</v>
      </c>
      <c r="C10" s="9">
        <v>2.75361581E8</v>
      </c>
      <c r="D10" s="9">
        <v>6.728742E7</v>
      </c>
      <c r="E10" s="9">
        <v>8.6048327E7</v>
      </c>
      <c r="F10" s="9">
        <v>0.0</v>
      </c>
      <c r="G10" s="9">
        <v>3.54812653E8</v>
      </c>
      <c r="H10" s="18">
        <f t="shared" si="2"/>
        <v>783509981</v>
      </c>
      <c r="I10" s="58">
        <f t="shared" si="3"/>
        <v>35.14461688</v>
      </c>
      <c r="J10" s="58">
        <f t="shared" si="4"/>
        <v>8.587946756</v>
      </c>
      <c r="K10" s="58">
        <f t="shared" si="5"/>
        <v>10.98241619</v>
      </c>
      <c r="L10" s="58">
        <f t="shared" si="6"/>
        <v>0</v>
      </c>
      <c r="M10" s="58">
        <f t="shared" si="7"/>
        <v>45.28502018</v>
      </c>
      <c r="N10" s="58">
        <f t="shared" si="8"/>
        <v>54.71497982</v>
      </c>
    </row>
    <row r="11">
      <c r="A11" s="9" t="s">
        <v>537</v>
      </c>
      <c r="B11" s="9" t="str">
        <f t="shared" si="1"/>
        <v>Qalba</v>
      </c>
      <c r="C11" s="9">
        <v>1.53107966E8</v>
      </c>
      <c r="D11" s="9">
        <v>5.2918264E7</v>
      </c>
      <c r="E11" s="9">
        <v>5.5260432E7</v>
      </c>
      <c r="F11" s="9">
        <v>0.0</v>
      </c>
      <c r="G11" s="9">
        <v>5.22223319E8</v>
      </c>
      <c r="H11" s="18">
        <f t="shared" si="2"/>
        <v>783509981</v>
      </c>
      <c r="I11" s="58">
        <f t="shared" si="3"/>
        <v>19.54129108</v>
      </c>
      <c r="J11" s="58">
        <f t="shared" si="4"/>
        <v>6.753999985</v>
      </c>
      <c r="K11" s="58">
        <f t="shared" si="5"/>
        <v>7.052932744</v>
      </c>
      <c r="L11" s="58">
        <f t="shared" si="6"/>
        <v>0</v>
      </c>
      <c r="M11" s="58">
        <f t="shared" si="7"/>
        <v>66.65177619</v>
      </c>
      <c r="N11" s="58">
        <f t="shared" si="8"/>
        <v>33.34822381</v>
      </c>
    </row>
    <row r="12">
      <c r="A12" s="9" t="s">
        <v>538</v>
      </c>
      <c r="B12" s="9" t="str">
        <f t="shared" si="1"/>
        <v>Qalba</v>
      </c>
      <c r="C12" s="9">
        <v>2.87139168E8</v>
      </c>
      <c r="D12" s="9">
        <v>7.4274443E7</v>
      </c>
      <c r="E12" s="9">
        <v>1.04222462E8</v>
      </c>
      <c r="F12" s="9">
        <v>0.0</v>
      </c>
      <c r="G12" s="9">
        <v>3.17873908E8</v>
      </c>
      <c r="H12" s="18">
        <f t="shared" si="2"/>
        <v>783509981</v>
      </c>
      <c r="I12" s="58">
        <f t="shared" si="3"/>
        <v>36.64779964</v>
      </c>
      <c r="J12" s="58">
        <f t="shared" si="4"/>
        <v>9.479706041</v>
      </c>
      <c r="K12" s="58">
        <f t="shared" si="5"/>
        <v>13.30199545</v>
      </c>
      <c r="L12" s="58">
        <f t="shared" si="6"/>
        <v>0</v>
      </c>
      <c r="M12" s="58">
        <f t="shared" si="7"/>
        <v>40.57049887</v>
      </c>
      <c r="N12" s="58">
        <f t="shared" si="8"/>
        <v>59.42950113</v>
      </c>
    </row>
    <row r="13">
      <c r="A13" s="9" t="s">
        <v>539</v>
      </c>
      <c r="B13" s="9" t="str">
        <f t="shared" si="1"/>
        <v>Qalba</v>
      </c>
      <c r="C13" s="9">
        <v>2.77335398E8</v>
      </c>
      <c r="D13" s="9">
        <v>6.3189987E7</v>
      </c>
      <c r="E13" s="9">
        <v>8.2143778E7</v>
      </c>
      <c r="F13" s="9">
        <v>0.0</v>
      </c>
      <c r="G13" s="9">
        <v>3.60840818E8</v>
      </c>
      <c r="H13" s="18">
        <f t="shared" si="2"/>
        <v>783509981</v>
      </c>
      <c r="I13" s="58">
        <f t="shared" si="3"/>
        <v>35.3965367</v>
      </c>
      <c r="J13" s="58">
        <f t="shared" si="4"/>
        <v>8.064988134</v>
      </c>
      <c r="K13" s="58">
        <f t="shared" si="5"/>
        <v>10.48407551</v>
      </c>
      <c r="L13" s="58">
        <f t="shared" si="6"/>
        <v>0</v>
      </c>
      <c r="M13" s="58">
        <f t="shared" si="7"/>
        <v>46.05439966</v>
      </c>
      <c r="N13" s="58">
        <f t="shared" si="8"/>
        <v>53.94560034</v>
      </c>
    </row>
    <row r="14">
      <c r="A14" s="9" t="s">
        <v>540</v>
      </c>
      <c r="B14" s="9" t="str">
        <f t="shared" si="1"/>
        <v>Qalba</v>
      </c>
      <c r="C14" s="9">
        <v>2.68340043E8</v>
      </c>
      <c r="D14" s="9">
        <v>6.5482593E7</v>
      </c>
      <c r="E14" s="9">
        <v>8.5323568E7</v>
      </c>
      <c r="F14" s="9">
        <v>0.0</v>
      </c>
      <c r="G14" s="9">
        <v>3.64363777E8</v>
      </c>
      <c r="H14" s="18">
        <f t="shared" si="2"/>
        <v>783509981</v>
      </c>
      <c r="I14" s="58">
        <f t="shared" si="3"/>
        <v>34.24845241</v>
      </c>
      <c r="J14" s="58">
        <f t="shared" si="4"/>
        <v>8.357595256</v>
      </c>
      <c r="K14" s="58">
        <f t="shared" si="5"/>
        <v>10.88991462</v>
      </c>
      <c r="L14" s="58">
        <f t="shared" si="6"/>
        <v>0</v>
      </c>
      <c r="M14" s="58">
        <f t="shared" si="7"/>
        <v>46.50403771</v>
      </c>
      <c r="N14" s="58">
        <f t="shared" si="8"/>
        <v>53.49596229</v>
      </c>
    </row>
    <row r="15">
      <c r="A15" s="9" t="s">
        <v>541</v>
      </c>
      <c r="B15" s="9" t="str">
        <f t="shared" si="1"/>
        <v>Qalba</v>
      </c>
      <c r="C15" s="9">
        <v>2.66069709E8</v>
      </c>
      <c r="D15" s="9">
        <v>6.543917E7</v>
      </c>
      <c r="E15" s="9">
        <v>8.5371005E7</v>
      </c>
      <c r="F15" s="9">
        <v>0.0</v>
      </c>
      <c r="G15" s="9">
        <v>3.66630097E8</v>
      </c>
      <c r="H15" s="18">
        <f t="shared" si="2"/>
        <v>783509981</v>
      </c>
      <c r="I15" s="58">
        <f t="shared" si="3"/>
        <v>33.95868789</v>
      </c>
      <c r="J15" s="58">
        <f t="shared" si="4"/>
        <v>8.352053144</v>
      </c>
      <c r="K15" s="58">
        <f t="shared" si="5"/>
        <v>10.89596905</v>
      </c>
      <c r="L15" s="58">
        <f t="shared" si="6"/>
        <v>0</v>
      </c>
      <c r="M15" s="58">
        <f t="shared" si="7"/>
        <v>46.79328992</v>
      </c>
      <c r="N15" s="58">
        <f t="shared" si="8"/>
        <v>53.20671008</v>
      </c>
    </row>
    <row r="16">
      <c r="A16" s="9" t="s">
        <v>542</v>
      </c>
      <c r="B16" s="9" t="str">
        <f t="shared" si="1"/>
        <v>Qalba</v>
      </c>
      <c r="C16" s="9">
        <v>2.67461825E8</v>
      </c>
      <c r="D16" s="9">
        <v>6.6434782E7</v>
      </c>
      <c r="E16" s="9">
        <v>8.8098189E7</v>
      </c>
      <c r="F16" s="9">
        <v>0.0</v>
      </c>
      <c r="G16" s="9">
        <v>3.61515185E8</v>
      </c>
      <c r="H16" s="18">
        <f t="shared" si="2"/>
        <v>783509981</v>
      </c>
      <c r="I16" s="58">
        <f t="shared" si="3"/>
        <v>34.13636475</v>
      </c>
      <c r="J16" s="58">
        <f t="shared" si="4"/>
        <v>8.479123893</v>
      </c>
      <c r="K16" s="58">
        <f t="shared" si="5"/>
        <v>11.2440417</v>
      </c>
      <c r="L16" s="58">
        <f t="shared" si="6"/>
        <v>0</v>
      </c>
      <c r="M16" s="58">
        <f t="shared" si="7"/>
        <v>46.14046965</v>
      </c>
      <c r="N16" s="58">
        <f t="shared" si="8"/>
        <v>53.85953035</v>
      </c>
    </row>
    <row r="17">
      <c r="A17" s="9" t="s">
        <v>543</v>
      </c>
      <c r="B17" s="9" t="str">
        <f t="shared" si="1"/>
        <v>Qalba</v>
      </c>
      <c r="C17" s="9">
        <v>2.71632815E8</v>
      </c>
      <c r="D17" s="9">
        <v>6.4558994E7</v>
      </c>
      <c r="E17" s="9">
        <v>8.5221291E7</v>
      </c>
      <c r="F17" s="9">
        <v>0.0</v>
      </c>
      <c r="G17" s="9">
        <v>3.62096881E8</v>
      </c>
      <c r="H17" s="18">
        <f t="shared" si="2"/>
        <v>783509981</v>
      </c>
      <c r="I17" s="58">
        <f t="shared" si="3"/>
        <v>34.66871151</v>
      </c>
      <c r="J17" s="58">
        <f t="shared" si="4"/>
        <v>8.239715583</v>
      </c>
      <c r="K17" s="58">
        <f t="shared" si="5"/>
        <v>10.87686093</v>
      </c>
      <c r="L17" s="58">
        <f t="shared" si="6"/>
        <v>0</v>
      </c>
      <c r="M17" s="58">
        <f t="shared" si="7"/>
        <v>46.21471197</v>
      </c>
      <c r="N17" s="58">
        <f t="shared" si="8"/>
        <v>53.78528803</v>
      </c>
    </row>
    <row r="18">
      <c r="A18" s="9" t="s">
        <v>544</v>
      </c>
      <c r="B18" s="9" t="str">
        <f t="shared" si="1"/>
        <v>Qalba</v>
      </c>
      <c r="C18" s="9">
        <v>3.01025443E8</v>
      </c>
      <c r="D18" s="9">
        <v>5.5673081E7</v>
      </c>
      <c r="E18" s="9">
        <v>7.2901557E7</v>
      </c>
      <c r="F18" s="9">
        <v>0.0</v>
      </c>
      <c r="G18" s="9">
        <v>3.539099E8</v>
      </c>
      <c r="H18" s="18">
        <f t="shared" si="2"/>
        <v>783509981</v>
      </c>
      <c r="I18" s="58">
        <f t="shared" si="3"/>
        <v>38.42011593</v>
      </c>
      <c r="J18" s="58">
        <f t="shared" si="4"/>
        <v>7.105599463</v>
      </c>
      <c r="K18" s="58">
        <f t="shared" si="5"/>
        <v>9.304483512</v>
      </c>
      <c r="L18" s="58">
        <f t="shared" si="6"/>
        <v>0</v>
      </c>
      <c r="M18" s="58">
        <f t="shared" si="7"/>
        <v>45.1698011</v>
      </c>
      <c r="N18" s="58">
        <f t="shared" si="8"/>
        <v>54.8301989</v>
      </c>
    </row>
    <row r="19">
      <c r="A19" s="9" t="s">
        <v>545</v>
      </c>
      <c r="B19" s="9" t="str">
        <f t="shared" si="1"/>
        <v>Qalba</v>
      </c>
      <c r="C19" s="9">
        <v>3.01210504E8</v>
      </c>
      <c r="D19" s="9">
        <v>6.3511764E7</v>
      </c>
      <c r="E19" s="9">
        <v>9.0180236E7</v>
      </c>
      <c r="F19" s="9">
        <v>0.0</v>
      </c>
      <c r="G19" s="9">
        <v>3.28607477E8</v>
      </c>
      <c r="H19" s="18">
        <f t="shared" si="2"/>
        <v>783509981</v>
      </c>
      <c r="I19" s="58">
        <f t="shared" si="3"/>
        <v>38.44373541</v>
      </c>
      <c r="J19" s="58">
        <f t="shared" si="4"/>
        <v>8.106056788</v>
      </c>
      <c r="K19" s="58">
        <f t="shared" si="5"/>
        <v>11.50977501</v>
      </c>
      <c r="L19" s="58">
        <f t="shared" si="6"/>
        <v>0</v>
      </c>
      <c r="M19" s="58">
        <f t="shared" si="7"/>
        <v>41.94043279</v>
      </c>
      <c r="N19" s="58">
        <f t="shared" si="8"/>
        <v>58.05956721</v>
      </c>
    </row>
    <row r="20">
      <c r="A20" s="9" t="s">
        <v>546</v>
      </c>
      <c r="B20" s="9" t="str">
        <f t="shared" si="1"/>
        <v>Qalba</v>
      </c>
      <c r="C20" s="9">
        <v>2.69086572E8</v>
      </c>
      <c r="D20" s="9">
        <v>6.410136E7</v>
      </c>
      <c r="E20" s="9">
        <v>8.486225E7</v>
      </c>
      <c r="F20" s="9">
        <v>0.0</v>
      </c>
      <c r="G20" s="9">
        <v>3.65459799E8</v>
      </c>
      <c r="H20" s="18">
        <f t="shared" si="2"/>
        <v>783509981</v>
      </c>
      <c r="I20" s="58">
        <f t="shared" si="3"/>
        <v>34.3437325</v>
      </c>
      <c r="J20" s="58">
        <f t="shared" si="4"/>
        <v>8.181307393</v>
      </c>
      <c r="K20" s="58">
        <f t="shared" si="5"/>
        <v>10.83103624</v>
      </c>
      <c r="L20" s="58">
        <f t="shared" si="6"/>
        <v>0</v>
      </c>
      <c r="M20" s="58">
        <f t="shared" si="7"/>
        <v>46.64392386</v>
      </c>
      <c r="N20" s="58">
        <f t="shared" si="8"/>
        <v>53.35607614</v>
      </c>
    </row>
    <row r="21">
      <c r="A21" s="9" t="s">
        <v>547</v>
      </c>
      <c r="B21" s="9" t="str">
        <f t="shared" si="1"/>
        <v>Qalba</v>
      </c>
      <c r="C21" s="9">
        <v>3.0977615E8</v>
      </c>
      <c r="D21" s="9">
        <v>5.9876954E7</v>
      </c>
      <c r="E21" s="9">
        <v>8.3271029E7</v>
      </c>
      <c r="F21" s="9">
        <v>0.0</v>
      </c>
      <c r="G21" s="9">
        <v>3.30585848E8</v>
      </c>
      <c r="H21" s="18">
        <f t="shared" si="2"/>
        <v>783509981</v>
      </c>
      <c r="I21" s="58">
        <f t="shared" si="3"/>
        <v>39.5369756</v>
      </c>
      <c r="J21" s="58">
        <f t="shared" si="4"/>
        <v>7.642143106</v>
      </c>
      <c r="K21" s="58">
        <f t="shared" si="5"/>
        <v>10.62794744</v>
      </c>
      <c r="L21" s="58">
        <f t="shared" si="6"/>
        <v>0</v>
      </c>
      <c r="M21" s="58">
        <f t="shared" si="7"/>
        <v>42.19293385</v>
      </c>
      <c r="N21" s="58">
        <f t="shared" si="8"/>
        <v>57.80706615</v>
      </c>
    </row>
    <row r="22">
      <c r="A22" s="9" t="s">
        <v>548</v>
      </c>
      <c r="B22" s="9" t="str">
        <f t="shared" si="1"/>
        <v>Qalba</v>
      </c>
      <c r="C22" s="9">
        <v>2.73670474E8</v>
      </c>
      <c r="D22" s="9">
        <v>6.3741548E7</v>
      </c>
      <c r="E22" s="9">
        <v>8.5438794E7</v>
      </c>
      <c r="F22" s="9">
        <v>0.0</v>
      </c>
      <c r="G22" s="9">
        <v>3.60659165E8</v>
      </c>
      <c r="H22" s="18">
        <f t="shared" si="2"/>
        <v>783509981</v>
      </c>
      <c r="I22" s="58">
        <f t="shared" si="3"/>
        <v>34.92877955</v>
      </c>
      <c r="J22" s="58">
        <f t="shared" si="4"/>
        <v>8.135384302</v>
      </c>
      <c r="K22" s="58">
        <f t="shared" si="5"/>
        <v>10.90462101</v>
      </c>
      <c r="L22" s="58">
        <f t="shared" si="6"/>
        <v>0</v>
      </c>
      <c r="M22" s="58">
        <f t="shared" si="7"/>
        <v>46.03121514</v>
      </c>
      <c r="N22" s="58">
        <f t="shared" si="8"/>
        <v>53.96878486</v>
      </c>
    </row>
    <row r="23">
      <c r="A23" s="9" t="s">
        <v>549</v>
      </c>
      <c r="B23" s="9" t="str">
        <f t="shared" si="1"/>
        <v>Qalba</v>
      </c>
      <c r="C23" s="9">
        <v>1.39800263E8</v>
      </c>
      <c r="D23" s="9">
        <v>4.5882373E7</v>
      </c>
      <c r="E23" s="9">
        <v>4.5121992E7</v>
      </c>
      <c r="F23" s="9">
        <v>0.0</v>
      </c>
      <c r="G23" s="9">
        <v>5.52705353E8</v>
      </c>
      <c r="H23" s="18">
        <f t="shared" si="2"/>
        <v>783509981</v>
      </c>
      <c r="I23" s="58">
        <f t="shared" si="3"/>
        <v>17.84281839</v>
      </c>
      <c r="J23" s="58">
        <f t="shared" si="4"/>
        <v>5.856003639</v>
      </c>
      <c r="K23" s="58">
        <f t="shared" si="5"/>
        <v>5.758955609</v>
      </c>
      <c r="L23" s="58">
        <f t="shared" si="6"/>
        <v>0</v>
      </c>
      <c r="M23" s="58">
        <f t="shared" si="7"/>
        <v>70.54222236</v>
      </c>
      <c r="N23" s="58">
        <f t="shared" si="8"/>
        <v>29.45777764</v>
      </c>
    </row>
    <row r="24">
      <c r="A24" s="9" t="s">
        <v>550</v>
      </c>
      <c r="B24" s="9" t="str">
        <f t="shared" si="1"/>
        <v>Qalba</v>
      </c>
      <c r="C24" s="9">
        <v>1.50878373E8</v>
      </c>
      <c r="D24" s="9">
        <v>5.3667691E7</v>
      </c>
      <c r="E24" s="9">
        <v>5.5581957E7</v>
      </c>
      <c r="F24" s="9">
        <v>0.0</v>
      </c>
      <c r="G24" s="9">
        <v>5.2338196E8</v>
      </c>
      <c r="H24" s="18">
        <f t="shared" si="2"/>
        <v>783509981</v>
      </c>
      <c r="I24" s="58">
        <f t="shared" si="3"/>
        <v>19.25672635</v>
      </c>
      <c r="J24" s="58">
        <f t="shared" si="4"/>
        <v>6.849649947</v>
      </c>
      <c r="K24" s="58">
        <f t="shared" si="5"/>
        <v>7.093969234</v>
      </c>
      <c r="L24" s="58">
        <f t="shared" si="6"/>
        <v>0</v>
      </c>
      <c r="M24" s="58">
        <f t="shared" si="7"/>
        <v>66.79965446</v>
      </c>
      <c r="N24" s="58">
        <f t="shared" si="8"/>
        <v>33.20034554</v>
      </c>
    </row>
    <row r="25">
      <c r="A25" s="9" t="s">
        <v>551</v>
      </c>
      <c r="B25" s="9" t="str">
        <f t="shared" si="1"/>
        <v>Qalba</v>
      </c>
      <c r="C25" s="9">
        <v>2.70425377E8</v>
      </c>
      <c r="D25" s="9">
        <v>6.2450357E7</v>
      </c>
      <c r="E25" s="9">
        <v>8.1803335E7</v>
      </c>
      <c r="F25" s="9">
        <v>0.0</v>
      </c>
      <c r="G25" s="9">
        <v>3.68830912E8</v>
      </c>
      <c r="H25" s="18">
        <f t="shared" si="2"/>
        <v>783509981</v>
      </c>
      <c r="I25" s="58">
        <f t="shared" si="3"/>
        <v>34.51460525</v>
      </c>
      <c r="J25" s="58">
        <f t="shared" si="4"/>
        <v>7.970588571</v>
      </c>
      <c r="K25" s="58">
        <f t="shared" si="5"/>
        <v>10.4406245</v>
      </c>
      <c r="L25" s="58">
        <f t="shared" si="6"/>
        <v>0</v>
      </c>
      <c r="M25" s="58">
        <f t="shared" si="7"/>
        <v>47.07418169</v>
      </c>
      <c r="N25" s="58">
        <f t="shared" si="8"/>
        <v>52.92581831</v>
      </c>
    </row>
    <row r="26">
      <c r="A26" s="9" t="s">
        <v>552</v>
      </c>
      <c r="B26" s="9" t="str">
        <f t="shared" si="1"/>
        <v>Qalba</v>
      </c>
      <c r="C26" s="9">
        <v>2.65999122E8</v>
      </c>
      <c r="D26" s="9">
        <v>6.2371573E7</v>
      </c>
      <c r="E26" s="9">
        <v>7.999012E7</v>
      </c>
      <c r="F26" s="9">
        <v>0.0</v>
      </c>
      <c r="G26" s="9">
        <v>3.75149166E8</v>
      </c>
      <c r="H26" s="18">
        <f t="shared" si="2"/>
        <v>783509981</v>
      </c>
      <c r="I26" s="58">
        <f t="shared" si="3"/>
        <v>33.94967881</v>
      </c>
      <c r="J26" s="58">
        <f t="shared" si="4"/>
        <v>7.960533307</v>
      </c>
      <c r="K26" s="58">
        <f t="shared" si="5"/>
        <v>10.20920243</v>
      </c>
      <c r="L26" s="58">
        <f t="shared" si="6"/>
        <v>0</v>
      </c>
      <c r="M26" s="58">
        <f t="shared" si="7"/>
        <v>47.88058545</v>
      </c>
      <c r="N26" s="58">
        <f t="shared" si="8"/>
        <v>52.11941455</v>
      </c>
    </row>
    <row r="27">
      <c r="A27" s="9" t="s">
        <v>553</v>
      </c>
      <c r="B27" s="9" t="str">
        <f t="shared" si="1"/>
        <v>Qalba</v>
      </c>
      <c r="C27" s="9">
        <v>1.35893537E8</v>
      </c>
      <c r="D27" s="9">
        <v>4.4194497E7</v>
      </c>
      <c r="E27" s="9">
        <v>4.2851766E7</v>
      </c>
      <c r="F27" s="9">
        <v>0.0</v>
      </c>
      <c r="G27" s="9">
        <v>5.60570181E8</v>
      </c>
      <c r="H27" s="18">
        <f t="shared" si="2"/>
        <v>783509981</v>
      </c>
      <c r="I27" s="58">
        <f t="shared" si="3"/>
        <v>17.34419986</v>
      </c>
      <c r="J27" s="58">
        <f t="shared" si="4"/>
        <v>5.640578687</v>
      </c>
      <c r="K27" s="58">
        <f t="shared" si="5"/>
        <v>5.469204865</v>
      </c>
      <c r="L27" s="58">
        <f t="shared" si="6"/>
        <v>0</v>
      </c>
      <c r="M27" s="58">
        <f t="shared" si="7"/>
        <v>71.54601659</v>
      </c>
      <c r="N27" s="58">
        <f t="shared" si="8"/>
        <v>28.45398341</v>
      </c>
    </row>
    <row r="28">
      <c r="A28" s="9" t="s">
        <v>554</v>
      </c>
      <c r="B28" s="9" t="str">
        <f t="shared" si="1"/>
        <v>Qalba</v>
      </c>
      <c r="C28" s="9">
        <v>2.76418576E8</v>
      </c>
      <c r="D28" s="9">
        <v>6.4911016E7</v>
      </c>
      <c r="E28" s="9">
        <v>8.1313165E7</v>
      </c>
      <c r="F28" s="9">
        <v>0.0</v>
      </c>
      <c r="G28" s="9">
        <v>3.60867224E8</v>
      </c>
      <c r="H28" s="18">
        <f t="shared" si="2"/>
        <v>783509981</v>
      </c>
      <c r="I28" s="58">
        <f t="shared" si="3"/>
        <v>35.27952198</v>
      </c>
      <c r="J28" s="58">
        <f t="shared" si="4"/>
        <v>8.28464443</v>
      </c>
      <c r="K28" s="58">
        <f t="shared" si="5"/>
        <v>10.37806371</v>
      </c>
      <c r="L28" s="58">
        <f t="shared" si="6"/>
        <v>0</v>
      </c>
      <c r="M28" s="58">
        <f t="shared" si="7"/>
        <v>46.05776988</v>
      </c>
      <c r="N28" s="58">
        <f t="shared" si="8"/>
        <v>53.94223012</v>
      </c>
    </row>
    <row r="29">
      <c r="A29" s="9" t="s">
        <v>555</v>
      </c>
      <c r="B29" s="9" t="str">
        <f t="shared" si="1"/>
        <v>Qalba</v>
      </c>
      <c r="C29" s="9">
        <v>2.63221548E8</v>
      </c>
      <c r="D29" s="9">
        <v>6.1621843E7</v>
      </c>
      <c r="E29" s="9">
        <v>7.7251046E7</v>
      </c>
      <c r="F29" s="9">
        <v>0.0</v>
      </c>
      <c r="G29" s="9">
        <v>3.81415544E8</v>
      </c>
      <c r="H29" s="18">
        <f t="shared" si="2"/>
        <v>783509981</v>
      </c>
      <c r="I29" s="58">
        <f t="shared" si="3"/>
        <v>33.59517484</v>
      </c>
      <c r="J29" s="58">
        <f t="shared" si="4"/>
        <v>7.864844673</v>
      </c>
      <c r="K29" s="58">
        <f t="shared" si="5"/>
        <v>9.859612241</v>
      </c>
      <c r="L29" s="58">
        <f t="shared" si="6"/>
        <v>0</v>
      </c>
      <c r="M29" s="58">
        <f t="shared" si="7"/>
        <v>48.68036825</v>
      </c>
      <c r="N29" s="58">
        <f t="shared" si="8"/>
        <v>51.31963175</v>
      </c>
    </row>
    <row r="30">
      <c r="A30" s="9" t="s">
        <v>556</v>
      </c>
      <c r="B30" s="9" t="str">
        <f t="shared" si="1"/>
        <v>Qalba</v>
      </c>
      <c r="C30" s="9">
        <v>2.77890045E8</v>
      </c>
      <c r="D30" s="9">
        <v>6.4003749E7</v>
      </c>
      <c r="E30" s="9">
        <v>8.2352817E7</v>
      </c>
      <c r="F30" s="9">
        <v>0.0</v>
      </c>
      <c r="G30" s="9">
        <v>3.5926337E8</v>
      </c>
      <c r="H30" s="18">
        <f t="shared" si="2"/>
        <v>783509981</v>
      </c>
      <c r="I30" s="58">
        <f t="shared" si="3"/>
        <v>35.46732674</v>
      </c>
      <c r="J30" s="58">
        <f t="shared" si="4"/>
        <v>8.168849224</v>
      </c>
      <c r="K30" s="58">
        <f t="shared" si="5"/>
        <v>10.51075532</v>
      </c>
      <c r="L30" s="58">
        <f t="shared" si="6"/>
        <v>0</v>
      </c>
      <c r="M30" s="58">
        <f t="shared" si="7"/>
        <v>45.85306872</v>
      </c>
      <c r="N30" s="58">
        <f t="shared" si="8"/>
        <v>54.14693128</v>
      </c>
    </row>
    <row r="31">
      <c r="A31" s="9" t="s">
        <v>557</v>
      </c>
      <c r="B31" s="9" t="str">
        <f t="shared" si="1"/>
        <v>Qalba</v>
      </c>
      <c r="C31" s="9">
        <v>1.41367783E8</v>
      </c>
      <c r="D31" s="9">
        <v>4.7074624E7</v>
      </c>
      <c r="E31" s="9">
        <v>4.6666759E7</v>
      </c>
      <c r="F31" s="9">
        <v>0.0</v>
      </c>
      <c r="G31" s="9">
        <v>5.48400815E8</v>
      </c>
      <c r="H31" s="18">
        <f t="shared" si="2"/>
        <v>783509981</v>
      </c>
      <c r="I31" s="58">
        <f t="shared" si="3"/>
        <v>18.04288221</v>
      </c>
      <c r="J31" s="58">
        <f t="shared" si="4"/>
        <v>6.008171579</v>
      </c>
      <c r="K31" s="58">
        <f t="shared" si="5"/>
        <v>5.956115446</v>
      </c>
      <c r="L31" s="58">
        <f t="shared" si="6"/>
        <v>0</v>
      </c>
      <c r="M31" s="58">
        <f t="shared" si="7"/>
        <v>69.99283076</v>
      </c>
      <c r="N31" s="58">
        <f t="shared" si="8"/>
        <v>30.00716924</v>
      </c>
    </row>
    <row r="32">
      <c r="A32" s="9" t="s">
        <v>558</v>
      </c>
      <c r="B32" s="9" t="str">
        <f t="shared" si="1"/>
        <v>Qalba</v>
      </c>
      <c r="C32" s="9">
        <v>1.49154436E8</v>
      </c>
      <c r="D32" s="9">
        <v>5.2793133E7</v>
      </c>
      <c r="E32" s="9">
        <v>5.3832203E7</v>
      </c>
      <c r="F32" s="9">
        <v>0.0</v>
      </c>
      <c r="G32" s="9">
        <v>5.27730209E8</v>
      </c>
      <c r="H32" s="18">
        <f t="shared" si="2"/>
        <v>783509981</v>
      </c>
      <c r="I32" s="58">
        <f t="shared" si="3"/>
        <v>19.03669891</v>
      </c>
      <c r="J32" s="58">
        <f t="shared" si="4"/>
        <v>6.738029416</v>
      </c>
      <c r="K32" s="58">
        <f t="shared" si="5"/>
        <v>6.870646744</v>
      </c>
      <c r="L32" s="58">
        <f t="shared" si="6"/>
        <v>0</v>
      </c>
      <c r="M32" s="58">
        <f t="shared" si="7"/>
        <v>67.35462493</v>
      </c>
      <c r="N32" s="58">
        <f t="shared" si="8"/>
        <v>32.64537507</v>
      </c>
    </row>
    <row r="33">
      <c r="A33" s="9" t="s">
        <v>559</v>
      </c>
      <c r="B33" s="9" t="str">
        <f t="shared" si="1"/>
        <v>Qalba</v>
      </c>
      <c r="C33" s="9">
        <v>1.34111421E8</v>
      </c>
      <c r="D33" s="9">
        <v>5.9880446E7</v>
      </c>
      <c r="E33" s="9">
        <v>5.8943E7</v>
      </c>
      <c r="F33" s="9">
        <v>0.0</v>
      </c>
      <c r="G33" s="9">
        <v>5.30575114E8</v>
      </c>
      <c r="H33" s="18">
        <f t="shared" si="2"/>
        <v>783509981</v>
      </c>
      <c r="I33" s="58">
        <f t="shared" si="3"/>
        <v>17.11674698</v>
      </c>
      <c r="J33" s="58">
        <f t="shared" si="4"/>
        <v>7.642588793</v>
      </c>
      <c r="K33" s="58">
        <f t="shared" si="5"/>
        <v>7.522941817</v>
      </c>
      <c r="L33" s="58">
        <f t="shared" si="6"/>
        <v>0</v>
      </c>
      <c r="M33" s="58">
        <f t="shared" si="7"/>
        <v>67.71772241</v>
      </c>
      <c r="N33" s="58">
        <f t="shared" si="8"/>
        <v>32.28227759</v>
      </c>
    </row>
    <row r="34">
      <c r="A34" s="9" t="s">
        <v>560</v>
      </c>
      <c r="B34" s="9" t="str">
        <f t="shared" si="1"/>
        <v>Qalba</v>
      </c>
      <c r="C34" s="9">
        <v>2.73346337E8</v>
      </c>
      <c r="D34" s="9">
        <v>6.2814782E7</v>
      </c>
      <c r="E34" s="9">
        <v>7.9890072E7</v>
      </c>
      <c r="F34" s="9">
        <v>0.0</v>
      </c>
      <c r="G34" s="9">
        <v>3.6745879E8</v>
      </c>
      <c r="H34" s="18">
        <f t="shared" si="2"/>
        <v>783509981</v>
      </c>
      <c r="I34" s="58">
        <f t="shared" si="3"/>
        <v>34.88740969</v>
      </c>
      <c r="J34" s="58">
        <f t="shared" si="4"/>
        <v>8.017100423</v>
      </c>
      <c r="K34" s="58">
        <f t="shared" si="5"/>
        <v>10.19643322</v>
      </c>
      <c r="L34" s="58">
        <f t="shared" si="6"/>
        <v>0</v>
      </c>
      <c r="M34" s="58">
        <f t="shared" si="7"/>
        <v>46.89905667</v>
      </c>
      <c r="N34" s="58">
        <f t="shared" si="8"/>
        <v>53.10094333</v>
      </c>
    </row>
    <row r="35">
      <c r="A35" s="9" t="s">
        <v>561</v>
      </c>
      <c r="B35" s="9" t="str">
        <f t="shared" si="1"/>
        <v>Qalba</v>
      </c>
      <c r="C35" s="9">
        <v>2.63432927E8</v>
      </c>
      <c r="D35" s="9">
        <v>6.2127938E7</v>
      </c>
      <c r="E35" s="9">
        <v>7.8489474E7</v>
      </c>
      <c r="F35" s="9">
        <v>0.0</v>
      </c>
      <c r="G35" s="9">
        <v>3.79459642E8</v>
      </c>
      <c r="H35" s="18">
        <f t="shared" si="2"/>
        <v>783509981</v>
      </c>
      <c r="I35" s="58">
        <f t="shared" si="3"/>
        <v>33.62215331</v>
      </c>
      <c r="J35" s="58">
        <f t="shared" si="4"/>
        <v>7.929437979</v>
      </c>
      <c r="K35" s="58">
        <f t="shared" si="5"/>
        <v>10.01767379</v>
      </c>
      <c r="L35" s="58">
        <f t="shared" si="6"/>
        <v>0</v>
      </c>
      <c r="M35" s="58">
        <f t="shared" si="7"/>
        <v>48.43073492</v>
      </c>
      <c r="N35" s="58">
        <f t="shared" si="8"/>
        <v>51.56926508</v>
      </c>
    </row>
    <row r="36">
      <c r="A36" s="9" t="s">
        <v>562</v>
      </c>
      <c r="B36" s="9" t="str">
        <f t="shared" si="1"/>
        <v>Qalba</v>
      </c>
      <c r="C36" s="9">
        <v>3.42253597E8</v>
      </c>
      <c r="D36" s="9">
        <v>6.1419444E7</v>
      </c>
      <c r="E36" s="9">
        <v>8.4932702E7</v>
      </c>
      <c r="F36" s="9">
        <v>0.0</v>
      </c>
      <c r="G36" s="9">
        <v>2.94904238E8</v>
      </c>
      <c r="H36" s="18">
        <f t="shared" si="2"/>
        <v>783509981</v>
      </c>
      <c r="I36" s="58">
        <f t="shared" si="3"/>
        <v>43.68209791</v>
      </c>
      <c r="J36" s="58">
        <f t="shared" si="4"/>
        <v>7.839012328</v>
      </c>
      <c r="K36" s="58">
        <f t="shared" si="5"/>
        <v>10.84002809</v>
      </c>
      <c r="L36" s="58">
        <f t="shared" si="6"/>
        <v>0</v>
      </c>
      <c r="M36" s="58">
        <f t="shared" si="7"/>
        <v>37.63886168</v>
      </c>
      <c r="N36" s="58">
        <f t="shared" si="8"/>
        <v>62.36113832</v>
      </c>
    </row>
    <row r="37">
      <c r="A37" s="9" t="s">
        <v>563</v>
      </c>
      <c r="B37" s="9" t="str">
        <f t="shared" si="1"/>
        <v>Qalba</v>
      </c>
      <c r="C37" s="9">
        <v>1.58815666E8</v>
      </c>
      <c r="D37" s="9">
        <v>6.5405962E7</v>
      </c>
      <c r="E37" s="9">
        <v>6.7608177E7</v>
      </c>
      <c r="F37" s="9">
        <v>0.0</v>
      </c>
      <c r="G37" s="9">
        <v>4.91680176E8</v>
      </c>
      <c r="H37" s="18">
        <f t="shared" si="2"/>
        <v>783509981</v>
      </c>
      <c r="I37" s="58">
        <f t="shared" si="3"/>
        <v>20.26976935</v>
      </c>
      <c r="J37" s="58">
        <f t="shared" si="4"/>
        <v>8.34781478</v>
      </c>
      <c r="K37" s="58">
        <f t="shared" si="5"/>
        <v>8.628885227</v>
      </c>
      <c r="L37" s="58">
        <f t="shared" si="6"/>
        <v>0</v>
      </c>
      <c r="M37" s="58">
        <f t="shared" si="7"/>
        <v>62.75353064</v>
      </c>
      <c r="N37" s="58">
        <f t="shared" si="8"/>
        <v>37.24646936</v>
      </c>
    </row>
    <row r="38">
      <c r="A38" s="9" t="s">
        <v>564</v>
      </c>
      <c r="B38" s="9" t="str">
        <f t="shared" si="1"/>
        <v>Qalba</v>
      </c>
      <c r="C38" s="9">
        <v>2.62431068E8</v>
      </c>
      <c r="D38" s="9">
        <v>6.5422989E7</v>
      </c>
      <c r="E38" s="9">
        <v>8.464837E7</v>
      </c>
      <c r="F38" s="9">
        <v>0.0</v>
      </c>
      <c r="G38" s="9">
        <v>3.71007554E8</v>
      </c>
      <c r="H38" s="18">
        <f t="shared" si="2"/>
        <v>783509981</v>
      </c>
      <c r="I38" s="58">
        <f t="shared" si="3"/>
        <v>33.49428525</v>
      </c>
      <c r="J38" s="58">
        <f t="shared" si="4"/>
        <v>8.34998795</v>
      </c>
      <c r="K38" s="58">
        <f t="shared" si="5"/>
        <v>10.80373857</v>
      </c>
      <c r="L38" s="58">
        <f t="shared" si="6"/>
        <v>0</v>
      </c>
      <c r="M38" s="58">
        <f t="shared" si="7"/>
        <v>47.35198823</v>
      </c>
      <c r="N38" s="58">
        <f t="shared" si="8"/>
        <v>52.64801177</v>
      </c>
    </row>
    <row r="39">
      <c r="A39" s="9" t="s">
        <v>565</v>
      </c>
      <c r="B39" s="9" t="str">
        <f t="shared" si="1"/>
        <v>Qalba</v>
      </c>
      <c r="C39" s="9">
        <v>2.49299427E8</v>
      </c>
      <c r="D39" s="9">
        <v>6.1447586E7</v>
      </c>
      <c r="E39" s="9">
        <v>7.0497006E7</v>
      </c>
      <c r="F39" s="9">
        <v>0.0</v>
      </c>
      <c r="G39" s="9">
        <v>4.02265962E8</v>
      </c>
      <c r="H39" s="18">
        <f t="shared" si="2"/>
        <v>783509981</v>
      </c>
      <c r="I39" s="58">
        <f t="shared" si="3"/>
        <v>31.8182835</v>
      </c>
      <c r="J39" s="58">
        <f t="shared" si="4"/>
        <v>7.842604114</v>
      </c>
      <c r="K39" s="58">
        <f t="shared" si="5"/>
        <v>8.997588762</v>
      </c>
      <c r="L39" s="58">
        <f t="shared" si="6"/>
        <v>0</v>
      </c>
      <c r="M39" s="58">
        <f t="shared" si="7"/>
        <v>51.34152363</v>
      </c>
      <c r="N39" s="58">
        <f t="shared" si="8"/>
        <v>48.65847637</v>
      </c>
    </row>
    <row r="40">
      <c r="A40" s="9" t="s">
        <v>566</v>
      </c>
      <c r="B40" s="9" t="str">
        <f t="shared" si="1"/>
        <v>Qalba</v>
      </c>
      <c r="C40" s="9">
        <v>1.8037552E8</v>
      </c>
      <c r="D40" s="9">
        <v>5.5937243E7</v>
      </c>
      <c r="E40" s="9">
        <v>5.9211707E7</v>
      </c>
      <c r="F40" s="9">
        <v>0.0</v>
      </c>
      <c r="G40" s="9">
        <v>4.87985511E8</v>
      </c>
      <c r="H40" s="18">
        <f t="shared" si="2"/>
        <v>783509981</v>
      </c>
      <c r="I40" s="58">
        <f t="shared" si="3"/>
        <v>23.02147061</v>
      </c>
      <c r="J40" s="58">
        <f t="shared" si="4"/>
        <v>7.139314668</v>
      </c>
      <c r="K40" s="58">
        <f t="shared" si="5"/>
        <v>7.557237104</v>
      </c>
      <c r="L40" s="58">
        <f t="shared" si="6"/>
        <v>0</v>
      </c>
      <c r="M40" s="58">
        <f t="shared" si="7"/>
        <v>62.28197762</v>
      </c>
      <c r="N40" s="58">
        <f t="shared" si="8"/>
        <v>37.71802238</v>
      </c>
    </row>
    <row r="41">
      <c r="A41" s="9" t="s">
        <v>567</v>
      </c>
      <c r="B41" s="9" t="str">
        <f t="shared" si="1"/>
        <v>Qalba</v>
      </c>
      <c r="C41" s="9">
        <v>1.50006023E8</v>
      </c>
      <c r="D41" s="9">
        <v>6.0198343E7</v>
      </c>
      <c r="E41" s="9">
        <v>6.0115984E7</v>
      </c>
      <c r="F41" s="9">
        <v>0.0</v>
      </c>
      <c r="G41" s="9">
        <v>5.13189631E8</v>
      </c>
      <c r="H41" s="18">
        <f t="shared" si="2"/>
        <v>783509981</v>
      </c>
      <c r="I41" s="58">
        <f t="shared" si="3"/>
        <v>19.14538763</v>
      </c>
      <c r="J41" s="58">
        <f t="shared" si="4"/>
        <v>7.683162239</v>
      </c>
      <c r="K41" s="58">
        <f t="shared" si="5"/>
        <v>7.672650695</v>
      </c>
      <c r="L41" s="58">
        <f t="shared" si="6"/>
        <v>0</v>
      </c>
      <c r="M41" s="58">
        <f t="shared" si="7"/>
        <v>65.49879943</v>
      </c>
      <c r="N41" s="58">
        <f t="shared" si="8"/>
        <v>34.50120057</v>
      </c>
    </row>
    <row r="42">
      <c r="A42" s="9" t="s">
        <v>568</v>
      </c>
      <c r="B42" s="9" t="str">
        <f t="shared" si="1"/>
        <v>Qalba</v>
      </c>
      <c r="C42" s="9">
        <v>2.04744628E8</v>
      </c>
      <c r="D42" s="9">
        <v>6.4500999E7</v>
      </c>
      <c r="E42" s="9">
        <v>7.5820174E7</v>
      </c>
      <c r="F42" s="9">
        <v>0.0</v>
      </c>
      <c r="G42" s="9">
        <v>4.3844418E8</v>
      </c>
      <c r="H42" s="18">
        <f t="shared" si="2"/>
        <v>783509981</v>
      </c>
      <c r="I42" s="58">
        <f t="shared" si="3"/>
        <v>26.13171918</v>
      </c>
      <c r="J42" s="58">
        <f t="shared" si="4"/>
        <v>8.232313635</v>
      </c>
      <c r="K42" s="58">
        <f t="shared" si="5"/>
        <v>9.676988914</v>
      </c>
      <c r="L42" s="58">
        <f t="shared" si="6"/>
        <v>0</v>
      </c>
      <c r="M42" s="58">
        <f t="shared" si="7"/>
        <v>55.95897827</v>
      </c>
      <c r="N42" s="58">
        <f t="shared" si="8"/>
        <v>44.04102173</v>
      </c>
    </row>
    <row r="43">
      <c r="A43" s="9" t="s">
        <v>569</v>
      </c>
      <c r="B43" s="9" t="str">
        <f t="shared" si="1"/>
        <v>Qalba</v>
      </c>
      <c r="C43" s="9">
        <v>1.97185628E8</v>
      </c>
      <c r="D43" s="9">
        <v>6.7851612E7</v>
      </c>
      <c r="E43" s="9">
        <v>8.1029139E7</v>
      </c>
      <c r="F43" s="9">
        <v>0.0</v>
      </c>
      <c r="G43" s="9">
        <v>4.37443602E8</v>
      </c>
      <c r="H43" s="18">
        <f t="shared" si="2"/>
        <v>783509981</v>
      </c>
      <c r="I43" s="58">
        <f t="shared" si="3"/>
        <v>25.16695802</v>
      </c>
      <c r="J43" s="58">
        <f t="shared" si="4"/>
        <v>8.659955029</v>
      </c>
      <c r="K43" s="58">
        <f t="shared" si="5"/>
        <v>10.34181325</v>
      </c>
      <c r="L43" s="58">
        <f t="shared" si="6"/>
        <v>0</v>
      </c>
      <c r="M43" s="58">
        <f t="shared" si="7"/>
        <v>55.83127371</v>
      </c>
      <c r="N43" s="58">
        <f t="shared" si="8"/>
        <v>44.16872629</v>
      </c>
    </row>
    <row r="44">
      <c r="A44" s="9" t="s">
        <v>570</v>
      </c>
      <c r="B44" s="9" t="str">
        <f t="shared" si="1"/>
        <v>Qalba</v>
      </c>
      <c r="C44" s="9">
        <v>2.69348274E8</v>
      </c>
      <c r="D44" s="9">
        <v>6.4443795E7</v>
      </c>
      <c r="E44" s="9">
        <v>8.3287793E7</v>
      </c>
      <c r="F44" s="9">
        <v>0.0</v>
      </c>
      <c r="G44" s="9">
        <v>3.66430119E8</v>
      </c>
      <c r="H44" s="18">
        <f t="shared" si="2"/>
        <v>783509981</v>
      </c>
      <c r="I44" s="58">
        <f t="shared" si="3"/>
        <v>34.37713374</v>
      </c>
      <c r="J44" s="58">
        <f t="shared" si="4"/>
        <v>8.225012643</v>
      </c>
      <c r="K44" s="58">
        <f t="shared" si="5"/>
        <v>10.63008705</v>
      </c>
      <c r="L44" s="58">
        <f t="shared" si="6"/>
        <v>0</v>
      </c>
      <c r="M44" s="58">
        <f t="shared" si="7"/>
        <v>46.76776657</v>
      </c>
      <c r="N44" s="58">
        <f t="shared" si="8"/>
        <v>53.23223343</v>
      </c>
    </row>
    <row r="45">
      <c r="A45" s="9" t="s">
        <v>571</v>
      </c>
      <c r="B45" s="9" t="str">
        <f t="shared" si="1"/>
        <v>Qalba</v>
      </c>
      <c r="C45" s="9">
        <v>1.84135953E8</v>
      </c>
      <c r="D45" s="9">
        <v>6.1676886E7</v>
      </c>
      <c r="E45" s="9">
        <v>6.9126566E7</v>
      </c>
      <c r="F45" s="9">
        <v>0.0</v>
      </c>
      <c r="G45" s="9">
        <v>4.68570576E8</v>
      </c>
      <c r="H45" s="18">
        <f t="shared" si="2"/>
        <v>783509981</v>
      </c>
      <c r="I45" s="58">
        <f t="shared" si="3"/>
        <v>23.50141765</v>
      </c>
      <c r="J45" s="58">
        <f t="shared" si="4"/>
        <v>7.871869854</v>
      </c>
      <c r="K45" s="58">
        <f t="shared" si="5"/>
        <v>8.822678418</v>
      </c>
      <c r="L45" s="58">
        <f t="shared" si="6"/>
        <v>0</v>
      </c>
      <c r="M45" s="58">
        <f t="shared" si="7"/>
        <v>59.80403407</v>
      </c>
      <c r="N45" s="58">
        <f t="shared" si="8"/>
        <v>40.19596593</v>
      </c>
    </row>
    <row r="46">
      <c r="A46" s="9" t="s">
        <v>572</v>
      </c>
      <c r="B46" s="9" t="str">
        <f t="shared" si="1"/>
        <v>Qalba</v>
      </c>
      <c r="C46" s="9">
        <v>2.62701427E8</v>
      </c>
      <c r="D46" s="9">
        <v>6.1289986E7</v>
      </c>
      <c r="E46" s="9">
        <v>7.8511429E7</v>
      </c>
      <c r="F46" s="9">
        <v>0.0</v>
      </c>
      <c r="G46" s="9">
        <v>3.81007139E8</v>
      </c>
      <c r="H46" s="18">
        <f t="shared" si="2"/>
        <v>783509981</v>
      </c>
      <c r="I46" s="58">
        <f t="shared" si="3"/>
        <v>33.52879138</v>
      </c>
      <c r="J46" s="58">
        <f t="shared" si="4"/>
        <v>7.822489501</v>
      </c>
      <c r="K46" s="58">
        <f t="shared" si="5"/>
        <v>10.02047592</v>
      </c>
      <c r="L46" s="58">
        <f t="shared" si="6"/>
        <v>0</v>
      </c>
      <c r="M46" s="58">
        <f t="shared" si="7"/>
        <v>48.62824319</v>
      </c>
      <c r="N46" s="58">
        <f t="shared" si="8"/>
        <v>51.37175681</v>
      </c>
    </row>
    <row r="47">
      <c r="A47" s="9" t="s">
        <v>573</v>
      </c>
      <c r="B47" s="9" t="str">
        <f t="shared" si="1"/>
        <v>Qalba</v>
      </c>
      <c r="C47" s="9">
        <v>2.64119818E8</v>
      </c>
      <c r="D47" s="9">
        <v>6.5464573E7</v>
      </c>
      <c r="E47" s="9">
        <v>8.619615E7</v>
      </c>
      <c r="F47" s="9">
        <v>0.0</v>
      </c>
      <c r="G47" s="9">
        <v>3.6772944E8</v>
      </c>
      <c r="H47" s="18">
        <f t="shared" si="2"/>
        <v>783509981</v>
      </c>
      <c r="I47" s="58">
        <f t="shared" si="3"/>
        <v>33.70982175</v>
      </c>
      <c r="J47" s="58">
        <f t="shared" si="4"/>
        <v>8.355295349</v>
      </c>
      <c r="K47" s="58">
        <f t="shared" si="5"/>
        <v>11.00128296</v>
      </c>
      <c r="L47" s="58">
        <f t="shared" si="6"/>
        <v>0</v>
      </c>
      <c r="M47" s="58">
        <f t="shared" si="7"/>
        <v>46.93359994</v>
      </c>
      <c r="N47" s="58">
        <f t="shared" si="8"/>
        <v>53.06640006</v>
      </c>
    </row>
    <row r="48">
      <c r="A48" s="9" t="s">
        <v>574</v>
      </c>
      <c r="B48" s="9" t="str">
        <f t="shared" si="1"/>
        <v>Qalba</v>
      </c>
      <c r="C48" s="9">
        <v>2.55779357E8</v>
      </c>
      <c r="D48" s="9">
        <v>6.3871535E7</v>
      </c>
      <c r="E48" s="9">
        <v>8.3559789E7</v>
      </c>
      <c r="F48" s="9">
        <v>0.0</v>
      </c>
      <c r="G48" s="9">
        <v>3.802993E8</v>
      </c>
      <c r="H48" s="18">
        <f t="shared" si="2"/>
        <v>783509981</v>
      </c>
      <c r="I48" s="58">
        <f t="shared" si="3"/>
        <v>32.6453221</v>
      </c>
      <c r="J48" s="58">
        <f t="shared" si="4"/>
        <v>8.151974646</v>
      </c>
      <c r="K48" s="58">
        <f t="shared" si="5"/>
        <v>10.66480211</v>
      </c>
      <c r="L48" s="58">
        <f t="shared" si="6"/>
        <v>0</v>
      </c>
      <c r="M48" s="58">
        <f t="shared" si="7"/>
        <v>48.53790114</v>
      </c>
      <c r="N48" s="58">
        <f t="shared" si="8"/>
        <v>51.46209886</v>
      </c>
    </row>
    <row r="49">
      <c r="A49" s="9" t="s">
        <v>575</v>
      </c>
      <c r="B49" s="9" t="str">
        <f t="shared" si="1"/>
        <v>Qalba</v>
      </c>
      <c r="C49" s="9">
        <v>1.07847903E8</v>
      </c>
      <c r="D49" s="9">
        <v>6.3752162E7</v>
      </c>
      <c r="E49" s="9">
        <v>6.6335458E7</v>
      </c>
      <c r="F49" s="9">
        <v>0.0</v>
      </c>
      <c r="G49" s="9">
        <v>5.45574458E8</v>
      </c>
      <c r="H49" s="18">
        <f t="shared" si="2"/>
        <v>783509981</v>
      </c>
      <c r="I49" s="58">
        <f t="shared" si="3"/>
        <v>13.76471336</v>
      </c>
      <c r="J49" s="58">
        <f t="shared" si="4"/>
        <v>8.136738975</v>
      </c>
      <c r="K49" s="58">
        <f t="shared" si="5"/>
        <v>8.466447092</v>
      </c>
      <c r="L49" s="58">
        <f t="shared" si="6"/>
        <v>0</v>
      </c>
      <c r="M49" s="58">
        <f t="shared" si="7"/>
        <v>69.63210058</v>
      </c>
      <c r="N49" s="58">
        <f t="shared" si="8"/>
        <v>30.36789942</v>
      </c>
    </row>
    <row r="50">
      <c r="A50" s="9" t="s">
        <v>576</v>
      </c>
      <c r="B50" s="9" t="str">
        <f t="shared" si="1"/>
        <v>Qalba</v>
      </c>
      <c r="C50" s="9">
        <v>2.70413088E8</v>
      </c>
      <c r="D50" s="9">
        <v>6.4699564E7</v>
      </c>
      <c r="E50" s="9">
        <v>8.7510646E7</v>
      </c>
      <c r="F50" s="9">
        <v>0.0</v>
      </c>
      <c r="G50" s="9">
        <v>3.60886683E8</v>
      </c>
      <c r="H50" s="18">
        <f t="shared" si="2"/>
        <v>783509981</v>
      </c>
      <c r="I50" s="58">
        <f t="shared" si="3"/>
        <v>34.51303679</v>
      </c>
      <c r="J50" s="58">
        <f t="shared" si="4"/>
        <v>8.257656644</v>
      </c>
      <c r="K50" s="58">
        <f t="shared" si="5"/>
        <v>11.16905312</v>
      </c>
      <c r="L50" s="58">
        <f t="shared" si="6"/>
        <v>0</v>
      </c>
      <c r="M50" s="58">
        <f t="shared" si="7"/>
        <v>46.06025344</v>
      </c>
      <c r="N50" s="58">
        <f t="shared" si="8"/>
        <v>53.93974656</v>
      </c>
    </row>
    <row r="51">
      <c r="A51" s="9" t="s">
        <v>577</v>
      </c>
      <c r="B51" s="9" t="str">
        <f t="shared" si="1"/>
        <v>Qalba</v>
      </c>
      <c r="C51" s="9">
        <v>3.10095685E8</v>
      </c>
      <c r="D51" s="9">
        <v>6.4334865E7</v>
      </c>
      <c r="E51" s="9">
        <v>9.1532461E7</v>
      </c>
      <c r="F51" s="9">
        <v>0.0</v>
      </c>
      <c r="G51" s="9">
        <v>3.1754697E8</v>
      </c>
      <c r="H51" s="18">
        <f t="shared" si="2"/>
        <v>783509981</v>
      </c>
      <c r="I51" s="58">
        <f t="shared" si="3"/>
        <v>39.5777581</v>
      </c>
      <c r="J51" s="58">
        <f t="shared" si="4"/>
        <v>8.211109821</v>
      </c>
      <c r="K51" s="58">
        <f t="shared" si="5"/>
        <v>11.68236056</v>
      </c>
      <c r="L51" s="58">
        <f t="shared" si="6"/>
        <v>0</v>
      </c>
      <c r="M51" s="58">
        <f t="shared" si="7"/>
        <v>40.52877152</v>
      </c>
      <c r="N51" s="58">
        <f t="shared" si="8"/>
        <v>59.47122848</v>
      </c>
    </row>
    <row r="52">
      <c r="A52" s="9" t="s">
        <v>578</v>
      </c>
      <c r="B52" s="9" t="str">
        <f t="shared" si="1"/>
        <v>Qalba</v>
      </c>
      <c r="C52" s="9">
        <v>2.72361193E8</v>
      </c>
      <c r="D52" s="9">
        <v>6.4800943E7</v>
      </c>
      <c r="E52" s="9">
        <v>8.6595947E7</v>
      </c>
      <c r="F52" s="9">
        <v>0.0</v>
      </c>
      <c r="G52" s="9">
        <v>3.59751898E8</v>
      </c>
      <c r="H52" s="18">
        <f t="shared" si="2"/>
        <v>783509981</v>
      </c>
      <c r="I52" s="58">
        <f t="shared" si="3"/>
        <v>34.76167498</v>
      </c>
      <c r="J52" s="58">
        <f t="shared" si="4"/>
        <v>8.270595726</v>
      </c>
      <c r="K52" s="58">
        <f t="shared" si="5"/>
        <v>11.05230936</v>
      </c>
      <c r="L52" s="58">
        <f t="shared" si="6"/>
        <v>0</v>
      </c>
      <c r="M52" s="58">
        <f t="shared" si="7"/>
        <v>45.91541993</v>
      </c>
      <c r="N52" s="58">
        <f t="shared" si="8"/>
        <v>54.08458007</v>
      </c>
    </row>
    <row r="53">
      <c r="A53" s="9" t="s">
        <v>579</v>
      </c>
      <c r="B53" s="9" t="str">
        <f t="shared" si="1"/>
        <v>Qalba</v>
      </c>
      <c r="C53" s="9">
        <v>2.66979982E8</v>
      </c>
      <c r="D53" s="9">
        <v>6.0956643E7</v>
      </c>
      <c r="E53" s="9">
        <v>7.9137056E7</v>
      </c>
      <c r="F53" s="9">
        <v>0.0</v>
      </c>
      <c r="G53" s="9">
        <v>3.764363E8</v>
      </c>
      <c r="H53" s="18">
        <f t="shared" si="2"/>
        <v>783509981</v>
      </c>
      <c r="I53" s="58">
        <f t="shared" si="3"/>
        <v>34.07486675</v>
      </c>
      <c r="J53" s="58">
        <f t="shared" si="4"/>
        <v>7.779944669</v>
      </c>
      <c r="K53" s="58">
        <f t="shared" si="5"/>
        <v>10.10032519</v>
      </c>
      <c r="L53" s="58">
        <f t="shared" si="6"/>
        <v>0</v>
      </c>
      <c r="M53" s="58">
        <f t="shared" si="7"/>
        <v>48.04486339</v>
      </c>
      <c r="N53" s="58">
        <f t="shared" si="8"/>
        <v>51.95513661</v>
      </c>
    </row>
    <row r="54">
      <c r="A54" s="9" t="s">
        <v>580</v>
      </c>
      <c r="B54" s="9" t="str">
        <f t="shared" si="1"/>
        <v>Qalba</v>
      </c>
      <c r="C54" s="9">
        <v>2.65389407E8</v>
      </c>
      <c r="D54" s="9">
        <v>6.0809972E7</v>
      </c>
      <c r="E54" s="9">
        <v>7.6909207E7</v>
      </c>
      <c r="F54" s="9">
        <v>0.0</v>
      </c>
      <c r="G54" s="9">
        <v>3.80401395E8</v>
      </c>
      <c r="H54" s="18">
        <f t="shared" si="2"/>
        <v>783509981</v>
      </c>
      <c r="I54" s="58">
        <f t="shared" si="3"/>
        <v>33.8718604</v>
      </c>
      <c r="J54" s="58">
        <f t="shared" si="4"/>
        <v>7.761224933</v>
      </c>
      <c r="K54" s="58">
        <f t="shared" si="5"/>
        <v>9.815983059</v>
      </c>
      <c r="L54" s="58">
        <f t="shared" si="6"/>
        <v>0</v>
      </c>
      <c r="M54" s="58">
        <f t="shared" si="7"/>
        <v>48.55093161</v>
      </c>
      <c r="N54" s="58">
        <f t="shared" si="8"/>
        <v>51.44906839</v>
      </c>
    </row>
    <row r="55">
      <c r="A55" s="9" t="s">
        <v>581</v>
      </c>
      <c r="B55" s="9" t="str">
        <f t="shared" si="1"/>
        <v>Qalba</v>
      </c>
      <c r="C55" s="9">
        <v>2.687707E8</v>
      </c>
      <c r="D55" s="9">
        <v>6.546917E7</v>
      </c>
      <c r="E55" s="9">
        <v>8.6067341E7</v>
      </c>
      <c r="F55" s="9">
        <v>0.0</v>
      </c>
      <c r="G55" s="9">
        <v>3.6320277E8</v>
      </c>
      <c r="H55" s="18">
        <f t="shared" si="2"/>
        <v>783509981</v>
      </c>
      <c r="I55" s="58">
        <f t="shared" si="3"/>
        <v>34.30341751</v>
      </c>
      <c r="J55" s="58">
        <f t="shared" si="4"/>
        <v>8.355882068</v>
      </c>
      <c r="K55" s="58">
        <f t="shared" si="5"/>
        <v>10.98484296</v>
      </c>
      <c r="L55" s="58">
        <f t="shared" si="6"/>
        <v>0</v>
      </c>
      <c r="M55" s="58">
        <f t="shared" si="7"/>
        <v>46.35585746</v>
      </c>
      <c r="N55" s="58">
        <f t="shared" si="8"/>
        <v>53.64414254</v>
      </c>
    </row>
    <row r="56">
      <c r="A56" s="9" t="s">
        <v>582</v>
      </c>
      <c r="B56" s="9" t="str">
        <f t="shared" si="1"/>
        <v>Qalba</v>
      </c>
      <c r="C56" s="9">
        <v>2.73197591E8</v>
      </c>
      <c r="D56" s="9">
        <v>6.6453379E7</v>
      </c>
      <c r="E56" s="9">
        <v>8.6659276E7</v>
      </c>
      <c r="F56" s="9">
        <v>0.0</v>
      </c>
      <c r="G56" s="9">
        <v>3.57199735E8</v>
      </c>
      <c r="H56" s="18">
        <f t="shared" si="2"/>
        <v>783509981</v>
      </c>
      <c r="I56" s="58">
        <f t="shared" si="3"/>
        <v>34.86842512</v>
      </c>
      <c r="J56" s="58">
        <f t="shared" si="4"/>
        <v>8.481497442</v>
      </c>
      <c r="K56" s="58">
        <f t="shared" si="5"/>
        <v>11.06039209</v>
      </c>
      <c r="L56" s="58">
        <f t="shared" si="6"/>
        <v>0</v>
      </c>
      <c r="M56" s="58">
        <f t="shared" si="7"/>
        <v>45.58968535</v>
      </c>
      <c r="N56" s="58">
        <f t="shared" si="8"/>
        <v>54.41031465</v>
      </c>
    </row>
    <row r="57">
      <c r="A57" s="9" t="s">
        <v>583</v>
      </c>
      <c r="B57" s="9" t="str">
        <f t="shared" si="1"/>
        <v>Qalba</v>
      </c>
      <c r="C57" s="9">
        <v>2.84637084E8</v>
      </c>
      <c r="D57" s="9">
        <v>6.7426627E7</v>
      </c>
      <c r="E57" s="9">
        <v>9.1614313E7</v>
      </c>
      <c r="F57" s="9">
        <v>0.0</v>
      </c>
      <c r="G57" s="9">
        <v>3.39831957E8</v>
      </c>
      <c r="H57" s="18">
        <f t="shared" si="2"/>
        <v>783509981</v>
      </c>
      <c r="I57" s="58">
        <f t="shared" si="3"/>
        <v>36.32845668</v>
      </c>
      <c r="J57" s="58">
        <f t="shared" si="4"/>
        <v>8.605713856</v>
      </c>
      <c r="K57" s="58">
        <f t="shared" si="5"/>
        <v>11.6928074</v>
      </c>
      <c r="L57" s="58">
        <f t="shared" si="6"/>
        <v>0</v>
      </c>
      <c r="M57" s="58">
        <f t="shared" si="7"/>
        <v>43.37302207</v>
      </c>
      <c r="N57" s="58">
        <f t="shared" si="8"/>
        <v>56.62697793</v>
      </c>
    </row>
    <row r="58">
      <c r="A58" s="9" t="s">
        <v>584</v>
      </c>
      <c r="B58" s="9" t="str">
        <f t="shared" si="1"/>
        <v>Qalba</v>
      </c>
      <c r="C58" s="9">
        <v>1.43835977E8</v>
      </c>
      <c r="D58" s="9">
        <v>4.6983752E7</v>
      </c>
      <c r="E58" s="9">
        <v>4.6546903E7</v>
      </c>
      <c r="F58" s="9">
        <v>0.0</v>
      </c>
      <c r="G58" s="9">
        <v>5.46143349E8</v>
      </c>
      <c r="H58" s="18">
        <f t="shared" si="2"/>
        <v>783509981</v>
      </c>
      <c r="I58" s="58">
        <f t="shared" si="3"/>
        <v>18.35789977</v>
      </c>
      <c r="J58" s="58">
        <f t="shared" si="4"/>
        <v>5.996573514</v>
      </c>
      <c r="K58" s="58">
        <f t="shared" si="5"/>
        <v>5.94081813</v>
      </c>
      <c r="L58" s="58">
        <f t="shared" si="6"/>
        <v>0</v>
      </c>
      <c r="M58" s="58">
        <f t="shared" si="7"/>
        <v>69.70470859</v>
      </c>
      <c r="N58" s="58">
        <f t="shared" si="8"/>
        <v>30.29529141</v>
      </c>
    </row>
    <row r="59">
      <c r="A59" s="9" t="s">
        <v>585</v>
      </c>
      <c r="B59" s="9" t="str">
        <f t="shared" si="1"/>
        <v>Qalba</v>
      </c>
      <c r="C59" s="9">
        <v>1.44373132E8</v>
      </c>
      <c r="D59" s="9">
        <v>4.6502468E7</v>
      </c>
      <c r="E59" s="9">
        <v>4.5979007E7</v>
      </c>
      <c r="F59" s="9">
        <v>0.0</v>
      </c>
      <c r="G59" s="9">
        <v>5.46655374E8</v>
      </c>
      <c r="H59" s="18">
        <f t="shared" si="2"/>
        <v>783509981</v>
      </c>
      <c r="I59" s="58">
        <f t="shared" si="3"/>
        <v>18.42645729</v>
      </c>
      <c r="J59" s="58">
        <f t="shared" si="4"/>
        <v>5.935146856</v>
      </c>
      <c r="K59" s="58">
        <f t="shared" si="5"/>
        <v>5.868337113</v>
      </c>
      <c r="L59" s="58">
        <f t="shared" si="6"/>
        <v>0</v>
      </c>
      <c r="M59" s="58">
        <f t="shared" si="7"/>
        <v>69.77005874</v>
      </c>
      <c r="N59" s="58">
        <f t="shared" si="8"/>
        <v>30.22994126</v>
      </c>
    </row>
    <row r="60">
      <c r="A60" s="9" t="s">
        <v>586</v>
      </c>
      <c r="B60" s="9" t="str">
        <f t="shared" si="1"/>
        <v>Qalba</v>
      </c>
      <c r="C60" s="9">
        <v>2.68739383E8</v>
      </c>
      <c r="D60" s="9">
        <v>7.1789521E7</v>
      </c>
      <c r="E60" s="9">
        <v>9.7390783E7</v>
      </c>
      <c r="F60" s="9">
        <v>0.0</v>
      </c>
      <c r="G60" s="9">
        <v>3.45590294E8</v>
      </c>
      <c r="H60" s="18">
        <f t="shared" si="2"/>
        <v>783509981</v>
      </c>
      <c r="I60" s="58">
        <f t="shared" si="3"/>
        <v>34.29942049</v>
      </c>
      <c r="J60" s="58">
        <f t="shared" si="4"/>
        <v>9.162553476</v>
      </c>
      <c r="K60" s="58">
        <f t="shared" si="5"/>
        <v>12.43006284</v>
      </c>
      <c r="L60" s="58">
        <f t="shared" si="6"/>
        <v>0</v>
      </c>
      <c r="M60" s="58">
        <f t="shared" si="7"/>
        <v>44.10796319</v>
      </c>
      <c r="N60" s="58">
        <f t="shared" si="8"/>
        <v>55.89203681</v>
      </c>
    </row>
    <row r="61">
      <c r="A61" s="9" t="s">
        <v>587</v>
      </c>
      <c r="B61" s="9" t="str">
        <f t="shared" si="1"/>
        <v>Qalba</v>
      </c>
      <c r="C61" s="9">
        <v>1.34128291E8</v>
      </c>
      <c r="D61" s="9">
        <v>4.2822517E7</v>
      </c>
      <c r="E61" s="9">
        <v>4.2369191E7</v>
      </c>
      <c r="F61" s="9">
        <v>0.0</v>
      </c>
      <c r="G61" s="9">
        <v>5.64189982E8</v>
      </c>
      <c r="H61" s="18">
        <f t="shared" si="2"/>
        <v>783509981</v>
      </c>
      <c r="I61" s="58">
        <f t="shared" si="3"/>
        <v>17.11890011</v>
      </c>
      <c r="J61" s="58">
        <f t="shared" si="4"/>
        <v>5.465471792</v>
      </c>
      <c r="K61" s="58">
        <f t="shared" si="5"/>
        <v>5.407613435</v>
      </c>
      <c r="L61" s="58">
        <f t="shared" si="6"/>
        <v>0</v>
      </c>
      <c r="M61" s="58">
        <f t="shared" si="7"/>
        <v>72.00801466</v>
      </c>
      <c r="N61" s="58">
        <f t="shared" si="8"/>
        <v>27.99198534</v>
      </c>
    </row>
    <row r="62">
      <c r="A62" s="9" t="s">
        <v>588</v>
      </c>
      <c r="B62" s="9" t="str">
        <f t="shared" si="1"/>
        <v>Qalba</v>
      </c>
      <c r="C62" s="9">
        <v>1.53918072E8</v>
      </c>
      <c r="D62" s="9">
        <v>5.0232747E7</v>
      </c>
      <c r="E62" s="9">
        <v>4.9121158E7</v>
      </c>
      <c r="F62" s="9">
        <v>0.0</v>
      </c>
      <c r="G62" s="9">
        <v>5.30238004E8</v>
      </c>
      <c r="H62" s="18">
        <f t="shared" si="2"/>
        <v>783509981</v>
      </c>
      <c r="I62" s="58">
        <f t="shared" si="3"/>
        <v>19.64468555</v>
      </c>
      <c r="J62" s="58">
        <f t="shared" si="4"/>
        <v>6.411245321</v>
      </c>
      <c r="K62" s="58">
        <f t="shared" si="5"/>
        <v>6.269372336</v>
      </c>
      <c r="L62" s="58">
        <f t="shared" si="6"/>
        <v>0</v>
      </c>
      <c r="M62" s="58">
        <f t="shared" si="7"/>
        <v>67.67469679</v>
      </c>
      <c r="N62" s="58">
        <f t="shared" si="8"/>
        <v>32.32530321</v>
      </c>
    </row>
    <row r="63">
      <c r="A63" s="9" t="s">
        <v>589</v>
      </c>
      <c r="B63" s="9" t="str">
        <f t="shared" si="1"/>
        <v>Qalba</v>
      </c>
      <c r="C63" s="9">
        <v>2.59972132E8</v>
      </c>
      <c r="D63" s="9">
        <v>6.0594295E7</v>
      </c>
      <c r="E63" s="9">
        <v>7.7841759E7</v>
      </c>
      <c r="F63" s="9">
        <v>0.0</v>
      </c>
      <c r="G63" s="9">
        <v>3.85101795E8</v>
      </c>
      <c r="H63" s="18">
        <f t="shared" si="2"/>
        <v>783509981</v>
      </c>
      <c r="I63" s="58">
        <f t="shared" si="3"/>
        <v>33.1804493</v>
      </c>
      <c r="J63" s="58">
        <f t="shared" si="4"/>
        <v>7.733697907</v>
      </c>
      <c r="K63" s="58">
        <f t="shared" si="5"/>
        <v>9.93500541</v>
      </c>
      <c r="L63" s="58">
        <f t="shared" si="6"/>
        <v>0</v>
      </c>
      <c r="M63" s="58">
        <f t="shared" si="7"/>
        <v>49.15084738</v>
      </c>
      <c r="N63" s="58">
        <f t="shared" si="8"/>
        <v>50.84915262</v>
      </c>
    </row>
    <row r="64">
      <c r="A64" s="9" t="s">
        <v>590</v>
      </c>
      <c r="B64" s="9" t="str">
        <f t="shared" si="1"/>
        <v>Qalba</v>
      </c>
      <c r="C64" s="9">
        <v>3.04141875E8</v>
      </c>
      <c r="D64" s="9">
        <v>7.9839311E7</v>
      </c>
      <c r="E64" s="9">
        <v>1.35868045E8</v>
      </c>
      <c r="F64" s="9">
        <v>0.0</v>
      </c>
      <c r="G64" s="9">
        <v>2.6366075E8</v>
      </c>
      <c r="H64" s="18">
        <f t="shared" si="2"/>
        <v>783509981</v>
      </c>
      <c r="I64" s="58">
        <f t="shared" si="3"/>
        <v>38.81786861</v>
      </c>
      <c r="J64" s="58">
        <f t="shared" si="4"/>
        <v>10.18995456</v>
      </c>
      <c r="K64" s="58">
        <f t="shared" si="5"/>
        <v>17.34094629</v>
      </c>
      <c r="L64" s="58">
        <f t="shared" si="6"/>
        <v>0</v>
      </c>
      <c r="M64" s="58">
        <f t="shared" si="7"/>
        <v>33.65123054</v>
      </c>
      <c r="N64" s="58">
        <f t="shared" si="8"/>
        <v>66.34876946</v>
      </c>
    </row>
    <row r="65">
      <c r="A65" s="9" t="s">
        <v>591</v>
      </c>
      <c r="B65" s="9" t="str">
        <f t="shared" si="1"/>
        <v>Qalba</v>
      </c>
      <c r="C65" s="9">
        <v>1.32068399E8</v>
      </c>
      <c r="D65" s="9">
        <v>7.4225656E7</v>
      </c>
      <c r="E65" s="9">
        <v>7.5012184E7</v>
      </c>
      <c r="F65" s="9">
        <v>0.0</v>
      </c>
      <c r="G65" s="9">
        <v>5.02203742E8</v>
      </c>
      <c r="H65" s="18">
        <f t="shared" si="2"/>
        <v>783509981</v>
      </c>
      <c r="I65" s="58">
        <f t="shared" si="3"/>
        <v>16.85599446</v>
      </c>
      <c r="J65" s="58">
        <f t="shared" si="4"/>
        <v>9.473479317</v>
      </c>
      <c r="K65" s="58">
        <f t="shared" si="5"/>
        <v>9.57386451</v>
      </c>
      <c r="L65" s="58">
        <f t="shared" si="6"/>
        <v>0</v>
      </c>
      <c r="M65" s="58">
        <f t="shared" si="7"/>
        <v>64.09666171</v>
      </c>
      <c r="N65" s="58">
        <f t="shared" si="8"/>
        <v>35.90333829</v>
      </c>
    </row>
    <row r="66">
      <c r="A66" s="9" t="s">
        <v>592</v>
      </c>
      <c r="B66" s="9" t="str">
        <f t="shared" si="1"/>
        <v>Qalba</v>
      </c>
      <c r="C66" s="9">
        <v>1.37250131E8</v>
      </c>
      <c r="D66" s="9">
        <v>5.0241235E7</v>
      </c>
      <c r="E66" s="9">
        <v>4.7805796E7</v>
      </c>
      <c r="F66" s="9">
        <v>0.0</v>
      </c>
      <c r="G66" s="9">
        <v>5.48212819E8</v>
      </c>
      <c r="H66" s="18">
        <f t="shared" si="2"/>
        <v>783509981</v>
      </c>
      <c r="I66" s="58">
        <f t="shared" si="3"/>
        <v>17.51734302</v>
      </c>
      <c r="J66" s="58">
        <f t="shared" si="4"/>
        <v>6.412328652</v>
      </c>
      <c r="K66" s="58">
        <f t="shared" si="5"/>
        <v>6.101491641</v>
      </c>
      <c r="L66" s="58">
        <f t="shared" si="6"/>
        <v>0</v>
      </c>
      <c r="M66" s="58">
        <f t="shared" si="7"/>
        <v>69.96883668</v>
      </c>
      <c r="N66" s="58">
        <f t="shared" si="8"/>
        <v>30.03116332</v>
      </c>
    </row>
    <row r="67">
      <c r="A67" s="9" t="s">
        <v>593</v>
      </c>
      <c r="B67" s="9" t="str">
        <f t="shared" si="1"/>
        <v>Qalba</v>
      </c>
      <c r="C67" s="9">
        <v>2.76256144E8</v>
      </c>
      <c r="D67" s="9">
        <v>5.7070281E7</v>
      </c>
      <c r="E67" s="9">
        <v>6.8279339E7</v>
      </c>
      <c r="F67" s="9">
        <v>0.0</v>
      </c>
      <c r="G67" s="9">
        <v>3.81904217E8</v>
      </c>
      <c r="H67" s="18">
        <f t="shared" si="2"/>
        <v>783509981</v>
      </c>
      <c r="I67" s="58">
        <f t="shared" si="3"/>
        <v>35.25879066</v>
      </c>
      <c r="J67" s="58">
        <f t="shared" si="4"/>
        <v>7.283925206</v>
      </c>
      <c r="K67" s="58">
        <f t="shared" si="5"/>
        <v>8.714546165</v>
      </c>
      <c r="L67" s="58">
        <f t="shared" si="6"/>
        <v>0</v>
      </c>
      <c r="M67" s="58">
        <f t="shared" si="7"/>
        <v>48.74273797</v>
      </c>
      <c r="N67" s="58">
        <f t="shared" si="8"/>
        <v>51.25726203</v>
      </c>
    </row>
    <row r="68">
      <c r="A68" s="9" t="s">
        <v>594</v>
      </c>
      <c r="B68" s="9" t="str">
        <f t="shared" si="1"/>
        <v>Qalba</v>
      </c>
      <c r="C68" s="9">
        <v>1.03551544E8</v>
      </c>
      <c r="D68" s="9">
        <v>7.0728773E7</v>
      </c>
      <c r="E68" s="9">
        <v>7.3302103E7</v>
      </c>
      <c r="F68" s="9">
        <v>0.0</v>
      </c>
      <c r="G68" s="9">
        <v>5.35927561E8</v>
      </c>
      <c r="H68" s="18">
        <f t="shared" si="2"/>
        <v>783509981</v>
      </c>
      <c r="I68" s="58">
        <f t="shared" si="3"/>
        <v>13.21636565</v>
      </c>
      <c r="J68" s="58">
        <f t="shared" si="4"/>
        <v>9.027169368</v>
      </c>
      <c r="K68" s="58">
        <f t="shared" si="5"/>
        <v>9.355605516</v>
      </c>
      <c r="L68" s="58">
        <f t="shared" si="6"/>
        <v>0</v>
      </c>
      <c r="M68" s="58">
        <f t="shared" si="7"/>
        <v>68.40085947</v>
      </c>
      <c r="N68" s="58">
        <f t="shared" si="8"/>
        <v>31.59914053</v>
      </c>
    </row>
    <row r="69">
      <c r="A69" s="9" t="s">
        <v>595</v>
      </c>
      <c r="B69" s="9" t="str">
        <f t="shared" si="1"/>
        <v>Qalba</v>
      </c>
      <c r="C69" s="9">
        <v>1.3704775E8</v>
      </c>
      <c r="D69" s="9">
        <v>8.5571263E7</v>
      </c>
      <c r="E69" s="9">
        <v>1.00471607E8</v>
      </c>
      <c r="F69" s="9">
        <v>0.0</v>
      </c>
      <c r="G69" s="9">
        <v>4.60419361E8</v>
      </c>
      <c r="H69" s="18">
        <f t="shared" si="2"/>
        <v>783509981</v>
      </c>
      <c r="I69" s="58">
        <f t="shared" si="3"/>
        <v>17.49151298</v>
      </c>
      <c r="J69" s="58">
        <f t="shared" si="4"/>
        <v>10.92152813</v>
      </c>
      <c r="K69" s="58">
        <f t="shared" si="5"/>
        <v>12.82327085</v>
      </c>
      <c r="L69" s="58">
        <f t="shared" si="6"/>
        <v>0</v>
      </c>
      <c r="M69" s="58">
        <f t="shared" si="7"/>
        <v>58.76368804</v>
      </c>
      <c r="N69" s="58">
        <f t="shared" si="8"/>
        <v>41.23631196</v>
      </c>
    </row>
    <row r="70">
      <c r="A70" s="9" t="s">
        <v>596</v>
      </c>
      <c r="B70" s="9" t="str">
        <f t="shared" si="1"/>
        <v>Qalba</v>
      </c>
      <c r="C70" s="9">
        <v>1.2545148E8</v>
      </c>
      <c r="D70" s="9">
        <v>7.1030382E7</v>
      </c>
      <c r="E70" s="9">
        <v>7.4130873E7</v>
      </c>
      <c r="F70" s="9">
        <v>0.0</v>
      </c>
      <c r="G70" s="9">
        <v>5.12897246E8</v>
      </c>
      <c r="H70" s="18">
        <f t="shared" si="2"/>
        <v>783509981</v>
      </c>
      <c r="I70" s="58">
        <f t="shared" si="3"/>
        <v>16.01147184</v>
      </c>
      <c r="J70" s="58">
        <f t="shared" si="4"/>
        <v>9.065663964</v>
      </c>
      <c r="K70" s="58">
        <f t="shared" si="5"/>
        <v>9.461382088</v>
      </c>
      <c r="L70" s="58">
        <f t="shared" si="6"/>
        <v>0</v>
      </c>
      <c r="M70" s="58">
        <f t="shared" si="7"/>
        <v>65.4614821</v>
      </c>
      <c r="N70" s="58">
        <f t="shared" si="8"/>
        <v>34.5385179</v>
      </c>
    </row>
    <row r="71">
      <c r="A71" s="9" t="s">
        <v>597</v>
      </c>
      <c r="B71" s="9" t="str">
        <f t="shared" si="1"/>
        <v>Qalba</v>
      </c>
      <c r="C71" s="9">
        <v>1.22175114E8</v>
      </c>
      <c r="D71" s="9">
        <v>7.600459E7</v>
      </c>
      <c r="E71" s="9">
        <v>8.0611619E7</v>
      </c>
      <c r="F71" s="9">
        <v>0.0</v>
      </c>
      <c r="G71" s="9">
        <v>5.04718658E8</v>
      </c>
      <c r="H71" s="18">
        <f t="shared" si="2"/>
        <v>783509981</v>
      </c>
      <c r="I71" s="58">
        <f t="shared" si="3"/>
        <v>15.59330665</v>
      </c>
      <c r="J71" s="58">
        <f t="shared" si="4"/>
        <v>9.700526074</v>
      </c>
      <c r="K71" s="58">
        <f t="shared" si="5"/>
        <v>10.28852484</v>
      </c>
      <c r="L71" s="58">
        <f t="shared" si="6"/>
        <v>0</v>
      </c>
      <c r="M71" s="58">
        <f t="shared" si="7"/>
        <v>64.41764243</v>
      </c>
      <c r="N71" s="58">
        <f t="shared" si="8"/>
        <v>35.58235757</v>
      </c>
    </row>
    <row r="72">
      <c r="A72" s="9" t="s">
        <v>598</v>
      </c>
      <c r="B72" s="9" t="str">
        <f t="shared" si="1"/>
        <v>Qalba</v>
      </c>
      <c r="C72" s="9">
        <v>1.26692819E8</v>
      </c>
      <c r="D72" s="9">
        <v>7.6820436E7</v>
      </c>
      <c r="E72" s="9">
        <v>8.1790937E7</v>
      </c>
      <c r="F72" s="9">
        <v>0.0</v>
      </c>
      <c r="G72" s="9">
        <v>4.98205789E8</v>
      </c>
      <c r="H72" s="18">
        <f t="shared" si="2"/>
        <v>783509981</v>
      </c>
      <c r="I72" s="58">
        <f t="shared" si="3"/>
        <v>16.16990492</v>
      </c>
      <c r="J72" s="58">
        <f t="shared" si="4"/>
        <v>9.804653146</v>
      </c>
      <c r="K72" s="58">
        <f t="shared" si="5"/>
        <v>10.43904213</v>
      </c>
      <c r="L72" s="58">
        <f t="shared" si="6"/>
        <v>0</v>
      </c>
      <c r="M72" s="58">
        <f t="shared" si="7"/>
        <v>63.5863998</v>
      </c>
      <c r="N72" s="58">
        <f t="shared" si="8"/>
        <v>36.4136002</v>
      </c>
    </row>
    <row r="73">
      <c r="A73" s="9" t="s">
        <v>599</v>
      </c>
      <c r="B73" s="9" t="str">
        <f t="shared" si="1"/>
        <v>Qalba</v>
      </c>
      <c r="C73" s="9">
        <v>1.38653705E8</v>
      </c>
      <c r="D73" s="9">
        <v>8.3480887E7</v>
      </c>
      <c r="E73" s="9">
        <v>9.6125042E7</v>
      </c>
      <c r="F73" s="9">
        <v>0.0</v>
      </c>
      <c r="G73" s="9">
        <v>4.65250347E8</v>
      </c>
      <c r="H73" s="18">
        <f t="shared" si="2"/>
        <v>783509981</v>
      </c>
      <c r="I73" s="58">
        <f t="shared" si="3"/>
        <v>17.69648229</v>
      </c>
      <c r="J73" s="58">
        <f t="shared" si="4"/>
        <v>10.65473179</v>
      </c>
      <c r="K73" s="58">
        <f t="shared" si="5"/>
        <v>12.26851531</v>
      </c>
      <c r="L73" s="58">
        <f t="shared" si="6"/>
        <v>0</v>
      </c>
      <c r="M73" s="58">
        <f t="shared" si="7"/>
        <v>59.38027061</v>
      </c>
      <c r="N73" s="58">
        <f t="shared" si="8"/>
        <v>40.61972939</v>
      </c>
    </row>
    <row r="74">
      <c r="A74" s="9" t="s">
        <v>600</v>
      </c>
      <c r="B74" s="9" t="str">
        <f t="shared" si="1"/>
        <v>Qalba</v>
      </c>
      <c r="C74" s="9">
        <v>1.22830995E8</v>
      </c>
      <c r="D74" s="9">
        <v>7.2486811E7</v>
      </c>
      <c r="E74" s="9">
        <v>7.5683782E7</v>
      </c>
      <c r="F74" s="9">
        <v>0.0</v>
      </c>
      <c r="G74" s="9">
        <v>5.12508393E8</v>
      </c>
      <c r="H74" s="18">
        <f t="shared" si="2"/>
        <v>783509981</v>
      </c>
      <c r="I74" s="58">
        <f t="shared" si="3"/>
        <v>15.67701727</v>
      </c>
      <c r="J74" s="58">
        <f t="shared" si="4"/>
        <v>9.251549152</v>
      </c>
      <c r="K74" s="58">
        <f t="shared" si="5"/>
        <v>9.659581095</v>
      </c>
      <c r="L74" s="58">
        <f t="shared" si="6"/>
        <v>0</v>
      </c>
      <c r="M74" s="58">
        <f t="shared" si="7"/>
        <v>65.41185249</v>
      </c>
      <c r="N74" s="58">
        <f t="shared" si="8"/>
        <v>34.58814751</v>
      </c>
    </row>
    <row r="75">
      <c r="A75" s="9" t="s">
        <v>601</v>
      </c>
      <c r="B75" s="9" t="str">
        <f t="shared" si="1"/>
        <v>Qalba</v>
      </c>
      <c r="C75" s="9">
        <v>1.33516764E8</v>
      </c>
      <c r="D75" s="9">
        <v>8.5682501E7</v>
      </c>
      <c r="E75" s="9">
        <v>1.00583561E8</v>
      </c>
      <c r="F75" s="9">
        <v>0.0</v>
      </c>
      <c r="G75" s="9">
        <v>4.63727155E8</v>
      </c>
      <c r="H75" s="18">
        <f t="shared" si="2"/>
        <v>783509981</v>
      </c>
      <c r="I75" s="58">
        <f t="shared" si="3"/>
        <v>17.04085043</v>
      </c>
      <c r="J75" s="58">
        <f t="shared" si="4"/>
        <v>10.93572553</v>
      </c>
      <c r="K75" s="58">
        <f t="shared" si="5"/>
        <v>12.83755963</v>
      </c>
      <c r="L75" s="58">
        <f t="shared" si="6"/>
        <v>0</v>
      </c>
      <c r="M75" s="58">
        <f t="shared" si="7"/>
        <v>59.18586441</v>
      </c>
      <c r="N75" s="58">
        <f t="shared" si="8"/>
        <v>40.81413559</v>
      </c>
    </row>
    <row r="76">
      <c r="A76" s="9" t="s">
        <v>602</v>
      </c>
      <c r="B76" s="9" t="str">
        <f t="shared" si="1"/>
        <v>Qalba</v>
      </c>
      <c r="C76" s="9">
        <v>1.46438354E8</v>
      </c>
      <c r="D76" s="9">
        <v>9.3815552E7</v>
      </c>
      <c r="E76" s="9">
        <v>1.20557698E8</v>
      </c>
      <c r="F76" s="9">
        <v>0.0</v>
      </c>
      <c r="G76" s="9">
        <v>4.22698377E8</v>
      </c>
      <c r="H76" s="18">
        <f t="shared" si="2"/>
        <v>783509981</v>
      </c>
      <c r="I76" s="58">
        <f t="shared" si="3"/>
        <v>18.69004321</v>
      </c>
      <c r="J76" s="58">
        <f t="shared" si="4"/>
        <v>11.97375327</v>
      </c>
      <c r="K76" s="58">
        <f t="shared" si="5"/>
        <v>15.38687457</v>
      </c>
      <c r="L76" s="58">
        <f t="shared" si="6"/>
        <v>0</v>
      </c>
      <c r="M76" s="58">
        <f t="shared" si="7"/>
        <v>53.94932895</v>
      </c>
      <c r="N76" s="58">
        <f t="shared" si="8"/>
        <v>46.05067105</v>
      </c>
    </row>
    <row r="77">
      <c r="A77" s="9" t="s">
        <v>603</v>
      </c>
      <c r="B77" s="9" t="str">
        <f t="shared" si="1"/>
        <v>Qalba</v>
      </c>
      <c r="C77" s="9">
        <v>1.40615987E8</v>
      </c>
      <c r="D77" s="9">
        <v>9.3295984E7</v>
      </c>
      <c r="E77" s="9">
        <v>1.17552101E8</v>
      </c>
      <c r="F77" s="9">
        <v>0.0</v>
      </c>
      <c r="G77" s="9">
        <v>4.32045909E8</v>
      </c>
      <c r="H77" s="18">
        <f t="shared" si="2"/>
        <v>783509981</v>
      </c>
      <c r="I77" s="58">
        <f t="shared" si="3"/>
        <v>17.94692989</v>
      </c>
      <c r="J77" s="58">
        <f t="shared" si="4"/>
        <v>11.9074404</v>
      </c>
      <c r="K77" s="58">
        <f t="shared" si="5"/>
        <v>15.00326784</v>
      </c>
      <c r="L77" s="58">
        <f t="shared" si="6"/>
        <v>0</v>
      </c>
      <c r="M77" s="58">
        <f t="shared" si="7"/>
        <v>55.14236187</v>
      </c>
      <c r="N77" s="58">
        <f t="shared" si="8"/>
        <v>44.85763813</v>
      </c>
    </row>
    <row r="78">
      <c r="A78" s="9" t="s">
        <v>604</v>
      </c>
      <c r="B78" s="40" t="str">
        <f t="shared" si="1"/>
        <v>Qvar</v>
      </c>
      <c r="C78" s="9">
        <v>2.81598643E8</v>
      </c>
      <c r="D78" s="9">
        <v>6.6818191E7</v>
      </c>
      <c r="E78" s="9">
        <v>8.3347463E7</v>
      </c>
      <c r="F78" s="9">
        <v>0.0</v>
      </c>
      <c r="G78" s="9">
        <v>3.69571925E8</v>
      </c>
      <c r="H78" s="18">
        <f t="shared" si="2"/>
        <v>801336222</v>
      </c>
      <c r="I78" s="58">
        <f t="shared" si="3"/>
        <v>35.14113493</v>
      </c>
      <c r="J78" s="58">
        <f t="shared" si="4"/>
        <v>8.338346522</v>
      </c>
      <c r="K78" s="58">
        <f t="shared" si="5"/>
        <v>10.40106022</v>
      </c>
      <c r="L78" s="58">
        <f t="shared" si="6"/>
        <v>0</v>
      </c>
      <c r="M78" s="58">
        <f t="shared" si="7"/>
        <v>46.11945833</v>
      </c>
      <c r="N78" s="58">
        <f t="shared" si="8"/>
        <v>53.88054167</v>
      </c>
    </row>
    <row r="79">
      <c r="A79" s="9" t="s">
        <v>605</v>
      </c>
      <c r="B79" s="9" t="str">
        <f t="shared" si="1"/>
        <v>Qvar</v>
      </c>
      <c r="C79" s="9">
        <v>2.52072306E8</v>
      </c>
      <c r="D79" s="9">
        <v>9.1328244E7</v>
      </c>
      <c r="E79" s="9">
        <v>1.33081186E8</v>
      </c>
      <c r="F79" s="9">
        <v>0.0</v>
      </c>
      <c r="G79" s="9">
        <v>3.24854486E8</v>
      </c>
      <c r="H79" s="18">
        <f t="shared" si="2"/>
        <v>801336222</v>
      </c>
      <c r="I79" s="58">
        <f t="shared" si="3"/>
        <v>31.45649717</v>
      </c>
      <c r="J79" s="58">
        <f t="shared" si="4"/>
        <v>11.39699436</v>
      </c>
      <c r="K79" s="58">
        <f t="shared" si="5"/>
        <v>16.60740927</v>
      </c>
      <c r="L79" s="58">
        <f t="shared" si="6"/>
        <v>0</v>
      </c>
      <c r="M79" s="58">
        <f t="shared" si="7"/>
        <v>40.5390992</v>
      </c>
      <c r="N79" s="58">
        <f t="shared" si="8"/>
        <v>59.4609008</v>
      </c>
    </row>
    <row r="80">
      <c r="A80" s="9" t="s">
        <v>606</v>
      </c>
      <c r="B80" s="9" t="str">
        <f t="shared" si="1"/>
        <v>Qvar</v>
      </c>
      <c r="C80" s="9">
        <v>2.88234748E8</v>
      </c>
      <c r="D80" s="9">
        <v>9.4721337E7</v>
      </c>
      <c r="E80" s="9">
        <v>1.23309621E8</v>
      </c>
      <c r="F80" s="9">
        <v>0.0</v>
      </c>
      <c r="G80" s="9">
        <v>2.95070516E8</v>
      </c>
      <c r="H80" s="18">
        <f t="shared" si="2"/>
        <v>801336222</v>
      </c>
      <c r="I80" s="58">
        <f t="shared" si="3"/>
        <v>35.96926485</v>
      </c>
      <c r="J80" s="58">
        <f t="shared" si="4"/>
        <v>11.82042374</v>
      </c>
      <c r="K80" s="58">
        <f t="shared" si="5"/>
        <v>15.38800039</v>
      </c>
      <c r="L80" s="58">
        <f t="shared" si="6"/>
        <v>0</v>
      </c>
      <c r="M80" s="58">
        <f t="shared" si="7"/>
        <v>36.82231102</v>
      </c>
      <c r="N80" s="58">
        <f t="shared" si="8"/>
        <v>63.17768898</v>
      </c>
    </row>
    <row r="81">
      <c r="A81" s="9" t="s">
        <v>607</v>
      </c>
      <c r="B81" s="9" t="str">
        <f t="shared" si="1"/>
        <v>Qvar</v>
      </c>
      <c r="C81" s="9">
        <v>2.63406382E8</v>
      </c>
      <c r="D81" s="9">
        <v>1.0307444E8</v>
      </c>
      <c r="E81" s="9">
        <v>1.77188741E8</v>
      </c>
      <c r="F81" s="9">
        <v>0.0</v>
      </c>
      <c r="G81" s="9">
        <v>2.57666659E8</v>
      </c>
      <c r="H81" s="18">
        <f t="shared" si="2"/>
        <v>801336222</v>
      </c>
      <c r="I81" s="58">
        <f t="shared" si="3"/>
        <v>32.87089423</v>
      </c>
      <c r="J81" s="58">
        <f t="shared" si="4"/>
        <v>12.86282052</v>
      </c>
      <c r="K81" s="58">
        <f t="shared" si="5"/>
        <v>22.11166002</v>
      </c>
      <c r="L81" s="58">
        <f t="shared" si="6"/>
        <v>0</v>
      </c>
      <c r="M81" s="58">
        <f t="shared" si="7"/>
        <v>32.15462523</v>
      </c>
      <c r="N81" s="58">
        <f t="shared" si="8"/>
        <v>67.84537477</v>
      </c>
    </row>
    <row r="82">
      <c r="A82" s="9" t="s">
        <v>608</v>
      </c>
      <c r="B82" s="9" t="str">
        <f t="shared" si="1"/>
        <v>Qvar</v>
      </c>
      <c r="C82" s="9">
        <v>2.57391462E8</v>
      </c>
      <c r="D82" s="9">
        <v>1.02882601E8</v>
      </c>
      <c r="E82" s="9">
        <v>1.66195724E8</v>
      </c>
      <c r="F82" s="9">
        <v>0.0</v>
      </c>
      <c r="G82" s="9">
        <v>2.74866435E8</v>
      </c>
      <c r="H82" s="18">
        <f t="shared" si="2"/>
        <v>801336222</v>
      </c>
      <c r="I82" s="58">
        <f t="shared" si="3"/>
        <v>32.12028296</v>
      </c>
      <c r="J82" s="58">
        <f t="shared" si="4"/>
        <v>12.83888063</v>
      </c>
      <c r="K82" s="58">
        <f t="shared" si="5"/>
        <v>20.73982424</v>
      </c>
      <c r="L82" s="58">
        <f t="shared" si="6"/>
        <v>0</v>
      </c>
      <c r="M82" s="58">
        <f t="shared" si="7"/>
        <v>34.30101217</v>
      </c>
      <c r="N82" s="58">
        <f t="shared" si="8"/>
        <v>65.69898783</v>
      </c>
    </row>
    <row r="83">
      <c r="A83" s="9" t="s">
        <v>609</v>
      </c>
      <c r="B83" s="9" t="str">
        <f t="shared" si="1"/>
        <v>Qvar</v>
      </c>
      <c r="C83" s="9">
        <v>2.67822483E8</v>
      </c>
      <c r="D83" s="9">
        <v>1.00532812E8</v>
      </c>
      <c r="E83" s="9">
        <v>1.72011823E8</v>
      </c>
      <c r="F83" s="9">
        <v>0.0</v>
      </c>
      <c r="G83" s="9">
        <v>2.60969104E8</v>
      </c>
      <c r="H83" s="18">
        <f t="shared" si="2"/>
        <v>801336222</v>
      </c>
      <c r="I83" s="58">
        <f t="shared" si="3"/>
        <v>33.42198638</v>
      </c>
      <c r="J83" s="58">
        <f t="shared" si="4"/>
        <v>12.54564679</v>
      </c>
      <c r="K83" s="58">
        <f t="shared" si="5"/>
        <v>21.46562433</v>
      </c>
      <c r="L83" s="58">
        <f t="shared" si="6"/>
        <v>0</v>
      </c>
      <c r="M83" s="58">
        <f t="shared" si="7"/>
        <v>32.5667425</v>
      </c>
      <c r="N83" s="58">
        <f t="shared" si="8"/>
        <v>67.4332575</v>
      </c>
    </row>
    <row r="84">
      <c r="A84" s="9" t="s">
        <v>610</v>
      </c>
      <c r="B84" s="9" t="str">
        <f t="shared" si="1"/>
        <v>Qvar</v>
      </c>
      <c r="C84" s="9">
        <v>7.452083E7</v>
      </c>
      <c r="D84" s="9">
        <v>6.111584E7</v>
      </c>
      <c r="E84" s="9">
        <v>4.1786022E7</v>
      </c>
      <c r="F84" s="9">
        <v>0.0</v>
      </c>
      <c r="G84" s="9">
        <v>6.2391353E8</v>
      </c>
      <c r="H84" s="18">
        <f t="shared" si="2"/>
        <v>801336222</v>
      </c>
      <c r="I84" s="58">
        <f t="shared" si="3"/>
        <v>9.299570886</v>
      </c>
      <c r="J84" s="58">
        <f t="shared" si="4"/>
        <v>7.626741226</v>
      </c>
      <c r="K84" s="58">
        <f t="shared" si="5"/>
        <v>5.214543016</v>
      </c>
      <c r="L84" s="58">
        <f t="shared" si="6"/>
        <v>0</v>
      </c>
      <c r="M84" s="58">
        <f t="shared" si="7"/>
        <v>77.85914487</v>
      </c>
      <c r="N84" s="58">
        <f t="shared" si="8"/>
        <v>22.14085513</v>
      </c>
    </row>
    <row r="85">
      <c r="A85" s="9" t="s">
        <v>611</v>
      </c>
      <c r="B85" s="9" t="str">
        <f t="shared" si="1"/>
        <v>Qvar</v>
      </c>
      <c r="C85" s="9">
        <v>9.1256347E7</v>
      </c>
      <c r="D85" s="9">
        <v>4.4623717E7</v>
      </c>
      <c r="E85" s="9">
        <v>3.500811E7</v>
      </c>
      <c r="F85" s="9">
        <v>0.0</v>
      </c>
      <c r="G85" s="9">
        <v>6.30448048E8</v>
      </c>
      <c r="H85" s="18">
        <f t="shared" si="2"/>
        <v>801336222</v>
      </c>
      <c r="I85" s="58">
        <f t="shared" si="3"/>
        <v>11.38802222</v>
      </c>
      <c r="J85" s="58">
        <f t="shared" si="4"/>
        <v>5.568663412</v>
      </c>
      <c r="K85" s="58">
        <f t="shared" si="5"/>
        <v>4.368716781</v>
      </c>
      <c r="L85" s="58">
        <f t="shared" si="6"/>
        <v>0</v>
      </c>
      <c r="M85" s="58">
        <f t="shared" si="7"/>
        <v>78.67459759</v>
      </c>
      <c r="N85" s="58">
        <f t="shared" si="8"/>
        <v>21.32540241</v>
      </c>
    </row>
    <row r="86">
      <c r="A86" s="9" t="s">
        <v>612</v>
      </c>
      <c r="B86" s="9" t="str">
        <f t="shared" si="1"/>
        <v>Qvar</v>
      </c>
      <c r="C86" s="9">
        <v>9.4776908E7</v>
      </c>
      <c r="D86" s="9">
        <v>5.160059E7</v>
      </c>
      <c r="E86" s="9">
        <v>4.0611194E7</v>
      </c>
      <c r="F86" s="9">
        <v>0.0</v>
      </c>
      <c r="G86" s="9">
        <v>6.1434753E8</v>
      </c>
      <c r="H86" s="18">
        <f t="shared" si="2"/>
        <v>801336222</v>
      </c>
      <c r="I86" s="58">
        <f t="shared" si="3"/>
        <v>11.82735853</v>
      </c>
      <c r="J86" s="58">
        <f t="shared" si="4"/>
        <v>6.439318302</v>
      </c>
      <c r="K86" s="58">
        <f t="shared" si="5"/>
        <v>5.067934393</v>
      </c>
      <c r="L86" s="58">
        <f t="shared" si="6"/>
        <v>0</v>
      </c>
      <c r="M86" s="58">
        <f t="shared" si="7"/>
        <v>76.66538878</v>
      </c>
      <c r="N86" s="58">
        <f t="shared" si="8"/>
        <v>23.33461122</v>
      </c>
    </row>
    <row r="87">
      <c r="A87" s="9" t="s">
        <v>613</v>
      </c>
      <c r="B87" s="9" t="str">
        <f t="shared" si="1"/>
        <v>Qvar</v>
      </c>
      <c r="C87" s="9">
        <v>3.14130687E8</v>
      </c>
      <c r="D87" s="9">
        <v>6.393237E7</v>
      </c>
      <c r="E87" s="9">
        <v>8.5204496E7</v>
      </c>
      <c r="F87" s="9">
        <v>0.0</v>
      </c>
      <c r="G87" s="9">
        <v>3.38068669E8</v>
      </c>
      <c r="H87" s="18">
        <f t="shared" si="2"/>
        <v>801336222</v>
      </c>
      <c r="I87" s="58">
        <f t="shared" si="3"/>
        <v>39.20085956</v>
      </c>
      <c r="J87" s="58">
        <f t="shared" si="4"/>
        <v>7.978220408</v>
      </c>
      <c r="K87" s="58">
        <f t="shared" si="5"/>
        <v>10.63280227</v>
      </c>
      <c r="L87" s="58">
        <f t="shared" si="6"/>
        <v>0</v>
      </c>
      <c r="M87" s="58">
        <f t="shared" si="7"/>
        <v>42.18811776</v>
      </c>
      <c r="N87" s="58">
        <f t="shared" si="8"/>
        <v>57.81188224</v>
      </c>
    </row>
    <row r="88">
      <c r="A88" s="9" t="s">
        <v>614</v>
      </c>
      <c r="B88" s="9" t="str">
        <f t="shared" si="1"/>
        <v>Qvar</v>
      </c>
      <c r="C88" s="9">
        <v>2.35011565E8</v>
      </c>
      <c r="D88" s="9">
        <v>8.5682116E7</v>
      </c>
      <c r="E88" s="9">
        <v>1.03666031E8</v>
      </c>
      <c r="F88" s="9">
        <v>0.0</v>
      </c>
      <c r="G88" s="9">
        <v>3.7697651E8</v>
      </c>
      <c r="H88" s="18">
        <f t="shared" si="2"/>
        <v>801336222</v>
      </c>
      <c r="I88" s="58">
        <f t="shared" si="3"/>
        <v>29.32746063</v>
      </c>
      <c r="J88" s="58">
        <f t="shared" si="4"/>
        <v>10.69240522</v>
      </c>
      <c r="K88" s="58">
        <f t="shared" si="5"/>
        <v>12.93664609</v>
      </c>
      <c r="L88" s="58">
        <f t="shared" si="6"/>
        <v>0</v>
      </c>
      <c r="M88" s="58">
        <f t="shared" si="7"/>
        <v>47.04348807</v>
      </c>
      <c r="N88" s="58">
        <f t="shared" si="8"/>
        <v>52.95651193</v>
      </c>
    </row>
    <row r="89">
      <c r="A89" s="9" t="s">
        <v>615</v>
      </c>
      <c r="B89" s="9" t="str">
        <f t="shared" si="1"/>
        <v>Qvar</v>
      </c>
      <c r="C89" s="9">
        <v>2.22752727E8</v>
      </c>
      <c r="D89" s="9">
        <v>7.1822432E7</v>
      </c>
      <c r="E89" s="9">
        <v>7.8976481E7</v>
      </c>
      <c r="F89" s="9">
        <v>0.0</v>
      </c>
      <c r="G89" s="9">
        <v>4.27784582E8</v>
      </c>
      <c r="H89" s="18">
        <f t="shared" si="2"/>
        <v>801336222</v>
      </c>
      <c r="I89" s="58">
        <f t="shared" si="3"/>
        <v>27.79766107</v>
      </c>
      <c r="J89" s="58">
        <f t="shared" si="4"/>
        <v>8.962833581</v>
      </c>
      <c r="K89" s="58">
        <f t="shared" si="5"/>
        <v>9.855598541</v>
      </c>
      <c r="L89" s="58">
        <f t="shared" si="6"/>
        <v>0</v>
      </c>
      <c r="M89" s="58">
        <f t="shared" si="7"/>
        <v>53.38390681</v>
      </c>
      <c r="N89" s="58">
        <f t="shared" si="8"/>
        <v>46.61609319</v>
      </c>
    </row>
    <row r="90">
      <c r="A90" s="9" t="s">
        <v>616</v>
      </c>
      <c r="B90" s="9" t="str">
        <f t="shared" si="1"/>
        <v>Qvar</v>
      </c>
      <c r="C90" s="9">
        <v>2.57763108E8</v>
      </c>
      <c r="D90" s="9">
        <v>7.3490984E7</v>
      </c>
      <c r="E90" s="9">
        <v>8.7242508E7</v>
      </c>
      <c r="F90" s="9">
        <v>0.0</v>
      </c>
      <c r="G90" s="9">
        <v>3.82839622E8</v>
      </c>
      <c r="H90" s="18">
        <f t="shared" si="2"/>
        <v>801336222</v>
      </c>
      <c r="I90" s="58">
        <f t="shared" si="3"/>
        <v>32.16666125</v>
      </c>
      <c r="J90" s="58">
        <f t="shared" si="4"/>
        <v>9.171054794</v>
      </c>
      <c r="K90" s="58">
        <f t="shared" si="5"/>
        <v>10.88712897</v>
      </c>
      <c r="L90" s="58">
        <f t="shared" si="6"/>
        <v>0</v>
      </c>
      <c r="M90" s="58">
        <f t="shared" si="7"/>
        <v>47.77515498</v>
      </c>
      <c r="N90" s="58">
        <f t="shared" si="8"/>
        <v>52.22484502</v>
      </c>
    </row>
    <row r="91">
      <c r="A91" s="9" t="s">
        <v>617</v>
      </c>
      <c r="B91" s="9" t="str">
        <f t="shared" si="1"/>
        <v>Qvar</v>
      </c>
      <c r="C91" s="9">
        <v>2.53158105E8</v>
      </c>
      <c r="D91" s="9">
        <v>7.3441308E7</v>
      </c>
      <c r="E91" s="9">
        <v>8.7405698E7</v>
      </c>
      <c r="F91" s="9">
        <v>0.0</v>
      </c>
      <c r="G91" s="9">
        <v>3.87331111E8</v>
      </c>
      <c r="H91" s="18">
        <f t="shared" si="2"/>
        <v>801336222</v>
      </c>
      <c r="I91" s="58">
        <f t="shared" si="3"/>
        <v>31.59199573</v>
      </c>
      <c r="J91" s="58">
        <f t="shared" si="4"/>
        <v>9.164855648</v>
      </c>
      <c r="K91" s="58">
        <f t="shared" si="5"/>
        <v>10.90749371</v>
      </c>
      <c r="L91" s="58">
        <f t="shared" si="6"/>
        <v>0</v>
      </c>
      <c r="M91" s="58">
        <f t="shared" si="7"/>
        <v>48.33565492</v>
      </c>
      <c r="N91" s="58">
        <f t="shared" si="8"/>
        <v>51.66434508</v>
      </c>
    </row>
    <row r="92">
      <c r="A92" s="9" t="s">
        <v>618</v>
      </c>
      <c r="B92" s="9" t="str">
        <f t="shared" si="1"/>
        <v>Qvar</v>
      </c>
      <c r="C92" s="9">
        <v>2.56524698E8</v>
      </c>
      <c r="D92" s="9">
        <v>7.4418013E7</v>
      </c>
      <c r="E92" s="9">
        <v>9.0344945E7</v>
      </c>
      <c r="F92" s="9">
        <v>0.0</v>
      </c>
      <c r="G92" s="9">
        <v>3.80048566E8</v>
      </c>
      <c r="H92" s="18">
        <f t="shared" si="2"/>
        <v>801336222</v>
      </c>
      <c r="I92" s="58">
        <f t="shared" si="3"/>
        <v>32.01211813</v>
      </c>
      <c r="J92" s="58">
        <f t="shared" si="4"/>
        <v>9.286740192</v>
      </c>
      <c r="K92" s="58">
        <f t="shared" si="5"/>
        <v>11.27428694</v>
      </c>
      <c r="L92" s="58">
        <f t="shared" si="6"/>
        <v>0</v>
      </c>
      <c r="M92" s="58">
        <f t="shared" si="7"/>
        <v>47.42685474</v>
      </c>
      <c r="N92" s="58">
        <f t="shared" si="8"/>
        <v>52.57314526</v>
      </c>
    </row>
    <row r="93">
      <c r="A93" s="9" t="s">
        <v>619</v>
      </c>
      <c r="B93" s="9" t="str">
        <f t="shared" si="1"/>
        <v>Qvar</v>
      </c>
      <c r="C93" s="9">
        <v>2.59813793E8</v>
      </c>
      <c r="D93" s="9">
        <v>7.2313023E7</v>
      </c>
      <c r="E93" s="9">
        <v>8.7432944E7</v>
      </c>
      <c r="F93" s="9">
        <v>0.0</v>
      </c>
      <c r="G93" s="9">
        <v>3.81776462E8</v>
      </c>
      <c r="H93" s="18">
        <f t="shared" si="2"/>
        <v>801336222</v>
      </c>
      <c r="I93" s="58">
        <f t="shared" si="3"/>
        <v>32.42256944</v>
      </c>
      <c r="J93" s="58">
        <f t="shared" si="4"/>
        <v>9.024055199</v>
      </c>
      <c r="K93" s="58">
        <f t="shared" si="5"/>
        <v>10.91089378</v>
      </c>
      <c r="L93" s="58">
        <f t="shared" si="6"/>
        <v>0</v>
      </c>
      <c r="M93" s="58">
        <f t="shared" si="7"/>
        <v>47.64248158</v>
      </c>
      <c r="N93" s="58">
        <f t="shared" si="8"/>
        <v>52.35751842</v>
      </c>
    </row>
    <row r="94">
      <c r="A94" s="9" t="s">
        <v>620</v>
      </c>
      <c r="B94" s="9" t="str">
        <f t="shared" si="1"/>
        <v>Qvar</v>
      </c>
      <c r="C94" s="9">
        <v>3.1891858E8</v>
      </c>
      <c r="D94" s="9">
        <v>5.8128774E7</v>
      </c>
      <c r="E94" s="9">
        <v>7.3033968E7</v>
      </c>
      <c r="F94" s="9">
        <v>0.0</v>
      </c>
      <c r="G94" s="9">
        <v>3.512549E8</v>
      </c>
      <c r="H94" s="18">
        <f t="shared" si="2"/>
        <v>801336222</v>
      </c>
      <c r="I94" s="58">
        <f t="shared" si="3"/>
        <v>39.79834821</v>
      </c>
      <c r="J94" s="58">
        <f t="shared" si="4"/>
        <v>7.253980589</v>
      </c>
      <c r="K94" s="58">
        <f t="shared" si="5"/>
        <v>9.114023052</v>
      </c>
      <c r="L94" s="58">
        <f t="shared" si="6"/>
        <v>0</v>
      </c>
      <c r="M94" s="58">
        <f t="shared" si="7"/>
        <v>43.83364814</v>
      </c>
      <c r="N94" s="58">
        <f t="shared" si="8"/>
        <v>56.16635186</v>
      </c>
    </row>
    <row r="95">
      <c r="A95" s="9" t="s">
        <v>621</v>
      </c>
      <c r="B95" s="9" t="str">
        <f t="shared" si="1"/>
        <v>Qvar</v>
      </c>
      <c r="C95" s="9">
        <v>3.22430535E8</v>
      </c>
      <c r="D95" s="9">
        <v>6.4745721E7</v>
      </c>
      <c r="E95" s="9">
        <v>8.8405531E7</v>
      </c>
      <c r="F95" s="9">
        <v>0.0</v>
      </c>
      <c r="G95" s="9">
        <v>3.25754435E8</v>
      </c>
      <c r="H95" s="18">
        <f t="shared" si="2"/>
        <v>801336222</v>
      </c>
      <c r="I95" s="58">
        <f t="shared" si="3"/>
        <v>40.23661057</v>
      </c>
      <c r="J95" s="58">
        <f t="shared" si="4"/>
        <v>8.079719751</v>
      </c>
      <c r="K95" s="58">
        <f t="shared" si="5"/>
        <v>11.03226443</v>
      </c>
      <c r="L95" s="58">
        <f t="shared" si="6"/>
        <v>0</v>
      </c>
      <c r="M95" s="58">
        <f t="shared" si="7"/>
        <v>40.65140525</v>
      </c>
      <c r="N95" s="58">
        <f t="shared" si="8"/>
        <v>59.34859475</v>
      </c>
    </row>
    <row r="96">
      <c r="A96" s="9" t="s">
        <v>622</v>
      </c>
      <c r="B96" s="9" t="str">
        <f t="shared" si="1"/>
        <v>Qvar</v>
      </c>
      <c r="C96" s="9">
        <v>2.58178803E8</v>
      </c>
      <c r="D96" s="9">
        <v>7.2070774E7</v>
      </c>
      <c r="E96" s="9">
        <v>8.734008E7</v>
      </c>
      <c r="F96" s="9">
        <v>0.0</v>
      </c>
      <c r="G96" s="9">
        <v>3.83746565E8</v>
      </c>
      <c r="H96" s="18">
        <f t="shared" si="2"/>
        <v>801336222</v>
      </c>
      <c r="I96" s="58">
        <f t="shared" si="3"/>
        <v>32.21853648</v>
      </c>
      <c r="J96" s="58">
        <f t="shared" si="4"/>
        <v>8.993824567</v>
      </c>
      <c r="K96" s="58">
        <f t="shared" si="5"/>
        <v>10.89930514</v>
      </c>
      <c r="L96" s="58">
        <f t="shared" si="6"/>
        <v>0</v>
      </c>
      <c r="M96" s="58">
        <f t="shared" si="7"/>
        <v>47.88833382</v>
      </c>
      <c r="N96" s="58">
        <f t="shared" si="8"/>
        <v>52.11166618</v>
      </c>
    </row>
    <row r="97">
      <c r="A97" s="9" t="s">
        <v>623</v>
      </c>
      <c r="B97" s="9" t="str">
        <f t="shared" si="1"/>
        <v>Qvar</v>
      </c>
      <c r="C97" s="9">
        <v>3.31491776E8</v>
      </c>
      <c r="D97" s="9">
        <v>6.0822138E7</v>
      </c>
      <c r="E97" s="9">
        <v>8.1782482E7</v>
      </c>
      <c r="F97" s="9">
        <v>0.0</v>
      </c>
      <c r="G97" s="9">
        <v>3.27239826E8</v>
      </c>
      <c r="H97" s="18">
        <f t="shared" si="2"/>
        <v>801336222</v>
      </c>
      <c r="I97" s="58">
        <f t="shared" si="3"/>
        <v>41.367377</v>
      </c>
      <c r="J97" s="58">
        <f t="shared" si="4"/>
        <v>7.590089694</v>
      </c>
      <c r="K97" s="58">
        <f t="shared" si="5"/>
        <v>10.20576379</v>
      </c>
      <c r="L97" s="58">
        <f t="shared" si="6"/>
        <v>0</v>
      </c>
      <c r="M97" s="58">
        <f t="shared" si="7"/>
        <v>40.83676951</v>
      </c>
      <c r="N97" s="58">
        <f t="shared" si="8"/>
        <v>59.16323049</v>
      </c>
    </row>
    <row r="98">
      <c r="A98" s="9" t="s">
        <v>624</v>
      </c>
      <c r="B98" s="9" t="str">
        <f t="shared" si="1"/>
        <v>Qvar</v>
      </c>
      <c r="C98" s="9">
        <v>2.20872334E8</v>
      </c>
      <c r="D98" s="9">
        <v>7.1908619E7</v>
      </c>
      <c r="E98" s="9">
        <v>8.1575779E7</v>
      </c>
      <c r="F98" s="9">
        <v>0.0</v>
      </c>
      <c r="G98" s="9">
        <v>4.2697949E8</v>
      </c>
      <c r="H98" s="18">
        <f t="shared" si="2"/>
        <v>801336222</v>
      </c>
      <c r="I98" s="58">
        <f t="shared" si="3"/>
        <v>27.56300388</v>
      </c>
      <c r="J98" s="58">
        <f t="shared" si="4"/>
        <v>8.973588991</v>
      </c>
      <c r="K98" s="58">
        <f t="shared" si="5"/>
        <v>10.179969</v>
      </c>
      <c r="L98" s="58">
        <f t="shared" si="6"/>
        <v>0</v>
      </c>
      <c r="M98" s="58">
        <f t="shared" si="7"/>
        <v>53.28343812</v>
      </c>
      <c r="N98" s="58">
        <f t="shared" si="8"/>
        <v>46.71656188</v>
      </c>
    </row>
    <row r="99">
      <c r="A99" s="9" t="s">
        <v>625</v>
      </c>
      <c r="B99" s="9" t="str">
        <f t="shared" si="1"/>
        <v>Qvar</v>
      </c>
      <c r="C99" s="9">
        <v>2.95540414E8</v>
      </c>
      <c r="D99" s="9">
        <v>6.1383002E7</v>
      </c>
      <c r="E99" s="9">
        <v>7.5497795E7</v>
      </c>
      <c r="F99" s="9">
        <v>0.0</v>
      </c>
      <c r="G99" s="9">
        <v>3.68915011E8</v>
      </c>
      <c r="H99" s="18">
        <f t="shared" si="2"/>
        <v>801336222</v>
      </c>
      <c r="I99" s="58">
        <f t="shared" si="3"/>
        <v>36.88095033</v>
      </c>
      <c r="J99" s="58">
        <f t="shared" si="4"/>
        <v>7.660080789</v>
      </c>
      <c r="K99" s="58">
        <f t="shared" si="5"/>
        <v>9.421487876</v>
      </c>
      <c r="L99" s="58">
        <f t="shared" si="6"/>
        <v>0</v>
      </c>
      <c r="M99" s="58">
        <f t="shared" si="7"/>
        <v>46.03748101</v>
      </c>
      <c r="N99" s="58">
        <f t="shared" si="8"/>
        <v>53.96251899</v>
      </c>
    </row>
    <row r="100">
      <c r="A100" s="9" t="s">
        <v>626</v>
      </c>
      <c r="B100" s="9" t="str">
        <f t="shared" si="1"/>
        <v>Qvar</v>
      </c>
      <c r="C100" s="9">
        <v>3.03996292E8</v>
      </c>
      <c r="D100" s="9">
        <v>6.7605542E7</v>
      </c>
      <c r="E100" s="9">
        <v>8.8881799E7</v>
      </c>
      <c r="F100" s="9">
        <v>0.0</v>
      </c>
      <c r="G100" s="9">
        <v>3.40852589E8</v>
      </c>
      <c r="H100" s="18">
        <f t="shared" si="2"/>
        <v>801336222</v>
      </c>
      <c r="I100" s="58">
        <f t="shared" si="3"/>
        <v>37.93617256</v>
      </c>
      <c r="J100" s="58">
        <f t="shared" si="4"/>
        <v>8.436601285</v>
      </c>
      <c r="K100" s="58">
        <f t="shared" si="5"/>
        <v>11.09169866</v>
      </c>
      <c r="L100" s="58">
        <f t="shared" si="6"/>
        <v>0</v>
      </c>
      <c r="M100" s="58">
        <f t="shared" si="7"/>
        <v>42.53552749</v>
      </c>
      <c r="N100" s="58">
        <f t="shared" si="8"/>
        <v>57.46447251</v>
      </c>
    </row>
    <row r="101">
      <c r="A101" s="9" t="s">
        <v>627</v>
      </c>
      <c r="B101" s="9" t="str">
        <f t="shared" si="1"/>
        <v>Qvar</v>
      </c>
      <c r="C101" s="9">
        <v>2.20476976E8</v>
      </c>
      <c r="D101" s="9">
        <v>6.9590446E7</v>
      </c>
      <c r="E101" s="9">
        <v>7.7082997E7</v>
      </c>
      <c r="F101" s="9">
        <v>0.0</v>
      </c>
      <c r="G101" s="9">
        <v>4.34185803E8</v>
      </c>
      <c r="H101" s="18">
        <f t="shared" si="2"/>
        <v>801336222</v>
      </c>
      <c r="I101" s="58">
        <f t="shared" si="3"/>
        <v>27.51366654</v>
      </c>
      <c r="J101" s="58">
        <f t="shared" si="4"/>
        <v>8.684300558</v>
      </c>
      <c r="K101" s="58">
        <f t="shared" si="5"/>
        <v>9.619307712</v>
      </c>
      <c r="L101" s="58">
        <f t="shared" si="6"/>
        <v>0</v>
      </c>
      <c r="M101" s="58">
        <f t="shared" si="7"/>
        <v>54.18272519</v>
      </c>
      <c r="N101" s="58">
        <f t="shared" si="8"/>
        <v>45.81727481</v>
      </c>
    </row>
    <row r="102">
      <c r="A102" s="9" t="s">
        <v>628</v>
      </c>
      <c r="B102" s="9" t="str">
        <f t="shared" si="1"/>
        <v>Qvar</v>
      </c>
      <c r="C102" s="9">
        <v>2.14263106E8</v>
      </c>
      <c r="D102" s="9">
        <v>7.0385572E7</v>
      </c>
      <c r="E102" s="9">
        <v>7.6739421E7</v>
      </c>
      <c r="F102" s="9">
        <v>0.0</v>
      </c>
      <c r="G102" s="9">
        <v>4.39948123E8</v>
      </c>
      <c r="H102" s="18">
        <f t="shared" si="2"/>
        <v>801336222</v>
      </c>
      <c r="I102" s="58">
        <f t="shared" si="3"/>
        <v>26.73822799</v>
      </c>
      <c r="J102" s="58">
        <f t="shared" si="4"/>
        <v>8.783525575</v>
      </c>
      <c r="K102" s="58">
        <f t="shared" si="5"/>
        <v>9.576432326</v>
      </c>
      <c r="L102" s="58">
        <f t="shared" si="6"/>
        <v>0</v>
      </c>
      <c r="M102" s="58">
        <f t="shared" si="7"/>
        <v>54.90181411</v>
      </c>
      <c r="N102" s="58">
        <f t="shared" si="8"/>
        <v>45.09818589</v>
      </c>
    </row>
    <row r="103">
      <c r="A103" s="9" t="s">
        <v>629</v>
      </c>
      <c r="B103" s="9" t="str">
        <f t="shared" si="1"/>
        <v>Qvar</v>
      </c>
      <c r="C103" s="9">
        <v>2.93101353E8</v>
      </c>
      <c r="D103" s="9">
        <v>6.1136295E7</v>
      </c>
      <c r="E103" s="9">
        <v>7.4105582E7</v>
      </c>
      <c r="F103" s="9">
        <v>0.0</v>
      </c>
      <c r="G103" s="9">
        <v>3.72992992E8</v>
      </c>
      <c r="H103" s="18">
        <f t="shared" si="2"/>
        <v>801336222</v>
      </c>
      <c r="I103" s="58">
        <f t="shared" si="3"/>
        <v>36.57657609</v>
      </c>
      <c r="J103" s="58">
        <f t="shared" si="4"/>
        <v>7.629293837</v>
      </c>
      <c r="K103" s="58">
        <f t="shared" si="5"/>
        <v>9.247751439</v>
      </c>
      <c r="L103" s="58">
        <f t="shared" si="6"/>
        <v>0</v>
      </c>
      <c r="M103" s="58">
        <f t="shared" si="7"/>
        <v>46.54637863</v>
      </c>
      <c r="N103" s="58">
        <f t="shared" si="8"/>
        <v>53.45362137</v>
      </c>
    </row>
    <row r="104">
      <c r="A104" s="9" t="s">
        <v>630</v>
      </c>
      <c r="B104" s="9" t="str">
        <f t="shared" si="1"/>
        <v>Qvar</v>
      </c>
      <c r="C104" s="9">
        <v>1.42184098E8</v>
      </c>
      <c r="D104" s="9">
        <v>5.3203795E7</v>
      </c>
      <c r="E104" s="9">
        <v>4.5800768E7</v>
      </c>
      <c r="F104" s="9">
        <v>0.0</v>
      </c>
      <c r="G104" s="9">
        <v>5.60147561E8</v>
      </c>
      <c r="H104" s="18">
        <f t="shared" si="2"/>
        <v>801336222</v>
      </c>
      <c r="I104" s="58">
        <f t="shared" si="3"/>
        <v>17.74337589</v>
      </c>
      <c r="J104" s="58">
        <f t="shared" si="4"/>
        <v>6.63938476</v>
      </c>
      <c r="K104" s="58">
        <f t="shared" si="5"/>
        <v>5.715549446</v>
      </c>
      <c r="L104" s="58">
        <f t="shared" si="6"/>
        <v>0</v>
      </c>
      <c r="M104" s="58">
        <f t="shared" si="7"/>
        <v>69.90168991</v>
      </c>
      <c r="N104" s="58">
        <f t="shared" si="8"/>
        <v>30.09831009</v>
      </c>
    </row>
    <row r="105">
      <c r="A105" s="9" t="s">
        <v>631</v>
      </c>
      <c r="B105" s="9" t="str">
        <f t="shared" si="1"/>
        <v>Qvar</v>
      </c>
      <c r="C105" s="9">
        <v>3.01090237E8</v>
      </c>
      <c r="D105" s="9">
        <v>6.2262117E7</v>
      </c>
      <c r="E105" s="9">
        <v>7.6357688E7</v>
      </c>
      <c r="F105" s="9">
        <v>0.0</v>
      </c>
      <c r="G105" s="9">
        <v>3.6162618E8</v>
      </c>
      <c r="H105" s="18">
        <f t="shared" si="2"/>
        <v>801336222</v>
      </c>
      <c r="I105" s="58">
        <f t="shared" si="3"/>
        <v>37.57352142</v>
      </c>
      <c r="J105" s="58">
        <f t="shared" si="4"/>
        <v>7.769786925</v>
      </c>
      <c r="K105" s="58">
        <f t="shared" si="5"/>
        <v>9.528795268</v>
      </c>
      <c r="L105" s="58">
        <f t="shared" si="6"/>
        <v>0</v>
      </c>
      <c r="M105" s="58">
        <f t="shared" si="7"/>
        <v>45.12789639</v>
      </c>
      <c r="N105" s="58">
        <f t="shared" si="8"/>
        <v>54.87210361</v>
      </c>
    </row>
    <row r="106">
      <c r="A106" s="9" t="s">
        <v>632</v>
      </c>
      <c r="B106" s="9" t="str">
        <f t="shared" si="1"/>
        <v>Qvar</v>
      </c>
      <c r="C106" s="9">
        <v>1.47132217E8</v>
      </c>
      <c r="D106" s="9">
        <v>5.2189558E7</v>
      </c>
      <c r="E106" s="9">
        <v>4.6723184E7</v>
      </c>
      <c r="F106" s="9">
        <v>0.0</v>
      </c>
      <c r="G106" s="9">
        <v>5.55291263E8</v>
      </c>
      <c r="H106" s="18">
        <f t="shared" si="2"/>
        <v>801336222</v>
      </c>
      <c r="I106" s="58">
        <f t="shared" si="3"/>
        <v>18.36085939</v>
      </c>
      <c r="J106" s="58">
        <f t="shared" si="4"/>
        <v>6.512816539</v>
      </c>
      <c r="K106" s="58">
        <f t="shared" si="5"/>
        <v>5.830659181</v>
      </c>
      <c r="L106" s="58">
        <f t="shared" si="6"/>
        <v>0</v>
      </c>
      <c r="M106" s="58">
        <f t="shared" si="7"/>
        <v>69.29566489</v>
      </c>
      <c r="N106" s="58">
        <f t="shared" si="8"/>
        <v>30.70433511</v>
      </c>
    </row>
    <row r="107">
      <c r="A107" s="9" t="s">
        <v>633</v>
      </c>
      <c r="B107" s="9" t="str">
        <f t="shared" si="1"/>
        <v>Qvar</v>
      </c>
      <c r="C107" s="9">
        <v>3.02393325E8</v>
      </c>
      <c r="D107" s="9">
        <v>6.1955997E7</v>
      </c>
      <c r="E107" s="9">
        <v>7.7917404E7</v>
      </c>
      <c r="F107" s="9">
        <v>0.0</v>
      </c>
      <c r="G107" s="9">
        <v>3.59069496E8</v>
      </c>
      <c r="H107" s="18">
        <f t="shared" si="2"/>
        <v>801336222</v>
      </c>
      <c r="I107" s="58">
        <f t="shared" si="3"/>
        <v>37.73613581</v>
      </c>
      <c r="J107" s="58">
        <f t="shared" si="4"/>
        <v>7.731585731</v>
      </c>
      <c r="K107" s="58">
        <f t="shared" si="5"/>
        <v>9.723434666</v>
      </c>
      <c r="L107" s="58">
        <f t="shared" si="6"/>
        <v>0</v>
      </c>
      <c r="M107" s="58">
        <f t="shared" si="7"/>
        <v>44.8088438</v>
      </c>
      <c r="N107" s="58">
        <f t="shared" si="8"/>
        <v>55.1911562</v>
      </c>
    </row>
    <row r="108">
      <c r="A108" s="9" t="s">
        <v>634</v>
      </c>
      <c r="B108" s="9" t="str">
        <f t="shared" si="1"/>
        <v>Qvar</v>
      </c>
      <c r="C108" s="9">
        <v>3.10626126E8</v>
      </c>
      <c r="D108" s="9">
        <v>6.5154309E7</v>
      </c>
      <c r="E108" s="9">
        <v>8.5207534E7</v>
      </c>
      <c r="F108" s="9">
        <v>0.0</v>
      </c>
      <c r="G108" s="9">
        <v>3.40348253E8</v>
      </c>
      <c r="H108" s="18">
        <f t="shared" si="2"/>
        <v>801336222</v>
      </c>
      <c r="I108" s="58">
        <f t="shared" si="3"/>
        <v>38.76351991</v>
      </c>
      <c r="J108" s="58">
        <f t="shared" si="4"/>
        <v>8.130708086</v>
      </c>
      <c r="K108" s="58">
        <f t="shared" si="5"/>
        <v>10.63318139</v>
      </c>
      <c r="L108" s="58">
        <f t="shared" si="6"/>
        <v>0</v>
      </c>
      <c r="M108" s="58">
        <f t="shared" si="7"/>
        <v>42.47259061</v>
      </c>
      <c r="N108" s="58">
        <f t="shared" si="8"/>
        <v>57.52740939</v>
      </c>
    </row>
    <row r="109">
      <c r="A109" s="9" t="s">
        <v>635</v>
      </c>
      <c r="B109" s="9" t="str">
        <f t="shared" si="1"/>
        <v>Qvar</v>
      </c>
      <c r="C109" s="9">
        <v>3.11882093E8</v>
      </c>
      <c r="D109" s="9">
        <v>6.7306756E7</v>
      </c>
      <c r="E109" s="9">
        <v>8.9956044E7</v>
      </c>
      <c r="F109" s="9">
        <v>0.0</v>
      </c>
      <c r="G109" s="9">
        <v>3.32191329E8</v>
      </c>
      <c r="H109" s="18">
        <f t="shared" si="2"/>
        <v>801336222</v>
      </c>
      <c r="I109" s="58">
        <f t="shared" si="3"/>
        <v>38.920254</v>
      </c>
      <c r="J109" s="58">
        <f t="shared" si="4"/>
        <v>8.399315313</v>
      </c>
      <c r="K109" s="58">
        <f t="shared" si="5"/>
        <v>11.22575537</v>
      </c>
      <c r="L109" s="58">
        <f t="shared" si="6"/>
        <v>0</v>
      </c>
      <c r="M109" s="58">
        <f t="shared" si="7"/>
        <v>41.45467531</v>
      </c>
      <c r="N109" s="58">
        <f t="shared" si="8"/>
        <v>58.54532469</v>
      </c>
    </row>
    <row r="110">
      <c r="A110" s="9" t="s">
        <v>636</v>
      </c>
      <c r="B110" s="9" t="str">
        <f t="shared" si="1"/>
        <v>Qvar</v>
      </c>
      <c r="C110" s="9">
        <v>3.10647632E8</v>
      </c>
      <c r="D110" s="9">
        <v>6.2985309E7</v>
      </c>
      <c r="E110" s="9">
        <v>7.8717987E7</v>
      </c>
      <c r="F110" s="9">
        <v>0.0</v>
      </c>
      <c r="G110" s="9">
        <v>3.48985294E8</v>
      </c>
      <c r="H110" s="18">
        <f t="shared" si="2"/>
        <v>801336222</v>
      </c>
      <c r="I110" s="58">
        <f t="shared" si="3"/>
        <v>38.76620368</v>
      </c>
      <c r="J110" s="58">
        <f t="shared" si="4"/>
        <v>7.860035185</v>
      </c>
      <c r="K110" s="58">
        <f t="shared" si="5"/>
        <v>9.82334067</v>
      </c>
      <c r="L110" s="58">
        <f t="shared" si="6"/>
        <v>0</v>
      </c>
      <c r="M110" s="58">
        <f t="shared" si="7"/>
        <v>43.55042046</v>
      </c>
      <c r="N110" s="58">
        <f t="shared" si="8"/>
        <v>56.44957954</v>
      </c>
    </row>
    <row r="111">
      <c r="A111" s="9" t="s">
        <v>637</v>
      </c>
      <c r="B111" s="9" t="str">
        <f t="shared" si="1"/>
        <v>Qvar</v>
      </c>
      <c r="C111" s="9">
        <v>3.01710908E8</v>
      </c>
      <c r="D111" s="9">
        <v>6.2671582E7</v>
      </c>
      <c r="E111" s="9">
        <v>7.7535667E7</v>
      </c>
      <c r="F111" s="9">
        <v>0.0</v>
      </c>
      <c r="G111" s="9">
        <v>3.59418065E8</v>
      </c>
      <c r="H111" s="18">
        <f t="shared" si="2"/>
        <v>801336222</v>
      </c>
      <c r="I111" s="58">
        <f t="shared" si="3"/>
        <v>37.65097592</v>
      </c>
      <c r="J111" s="58">
        <f t="shared" si="4"/>
        <v>7.820884702</v>
      </c>
      <c r="K111" s="58">
        <f t="shared" si="5"/>
        <v>9.675797109</v>
      </c>
      <c r="L111" s="58">
        <f t="shared" si="6"/>
        <v>0</v>
      </c>
      <c r="M111" s="58">
        <f t="shared" si="7"/>
        <v>44.85234227</v>
      </c>
      <c r="N111" s="58">
        <f t="shared" si="8"/>
        <v>55.14765773</v>
      </c>
    </row>
    <row r="112">
      <c r="A112" s="9" t="s">
        <v>638</v>
      </c>
      <c r="B112" s="9" t="str">
        <f t="shared" si="1"/>
        <v>Qvar</v>
      </c>
      <c r="C112" s="9">
        <v>3.75857843E8</v>
      </c>
      <c r="D112" s="9">
        <v>5.8163934E7</v>
      </c>
      <c r="E112" s="9">
        <v>8.0286585E7</v>
      </c>
      <c r="F112" s="9">
        <v>0.0</v>
      </c>
      <c r="G112" s="9">
        <v>2.8702786E8</v>
      </c>
      <c r="H112" s="18">
        <f t="shared" si="2"/>
        <v>801336222</v>
      </c>
      <c r="I112" s="58">
        <f t="shared" si="3"/>
        <v>46.90388787</v>
      </c>
      <c r="J112" s="58">
        <f t="shared" si="4"/>
        <v>7.258368261</v>
      </c>
      <c r="K112" s="58">
        <f t="shared" si="5"/>
        <v>10.01908847</v>
      </c>
      <c r="L112" s="58">
        <f t="shared" si="6"/>
        <v>0</v>
      </c>
      <c r="M112" s="58">
        <f t="shared" si="7"/>
        <v>35.81865541</v>
      </c>
      <c r="N112" s="58">
        <f t="shared" si="8"/>
        <v>64.18134459</v>
      </c>
    </row>
    <row r="113">
      <c r="A113" s="9" t="s">
        <v>639</v>
      </c>
      <c r="B113" s="9" t="str">
        <f t="shared" si="1"/>
        <v>Qvar</v>
      </c>
      <c r="C113" s="9">
        <v>3.12616962E8</v>
      </c>
      <c r="D113" s="9">
        <v>6.7172412E7</v>
      </c>
      <c r="E113" s="9">
        <v>8.8985915E7</v>
      </c>
      <c r="F113" s="9">
        <v>0.0</v>
      </c>
      <c r="G113" s="9">
        <v>3.32560933E8</v>
      </c>
      <c r="H113" s="18">
        <f t="shared" si="2"/>
        <v>801336222</v>
      </c>
      <c r="I113" s="58">
        <f t="shared" si="3"/>
        <v>39.01195945</v>
      </c>
      <c r="J113" s="58">
        <f t="shared" si="4"/>
        <v>8.382550315</v>
      </c>
      <c r="K113" s="58">
        <f t="shared" si="5"/>
        <v>11.10469146</v>
      </c>
      <c r="L113" s="58">
        <f t="shared" si="6"/>
        <v>0</v>
      </c>
      <c r="M113" s="58">
        <f t="shared" si="7"/>
        <v>41.50079877</v>
      </c>
      <c r="N113" s="58">
        <f t="shared" si="8"/>
        <v>58.49920123</v>
      </c>
    </row>
    <row r="114">
      <c r="A114" s="9" t="s">
        <v>640</v>
      </c>
      <c r="B114" s="9" t="str">
        <f t="shared" si="1"/>
        <v>Qvar</v>
      </c>
      <c r="C114" s="9">
        <v>2.50155608E8</v>
      </c>
      <c r="D114" s="9">
        <v>7.4042764E7</v>
      </c>
      <c r="E114" s="9">
        <v>8.7049479E7</v>
      </c>
      <c r="F114" s="9">
        <v>0.0</v>
      </c>
      <c r="G114" s="9">
        <v>3.90088371E8</v>
      </c>
      <c r="H114" s="18">
        <f t="shared" si="2"/>
        <v>801336222</v>
      </c>
      <c r="I114" s="58">
        <f t="shared" si="3"/>
        <v>31.21730943</v>
      </c>
      <c r="J114" s="58">
        <f t="shared" si="4"/>
        <v>9.239912282</v>
      </c>
      <c r="K114" s="58">
        <f t="shared" si="5"/>
        <v>10.86304058</v>
      </c>
      <c r="L114" s="58">
        <f t="shared" si="6"/>
        <v>0</v>
      </c>
      <c r="M114" s="58">
        <f t="shared" si="7"/>
        <v>48.6797377</v>
      </c>
      <c r="N114" s="58">
        <f t="shared" si="8"/>
        <v>51.3202623</v>
      </c>
    </row>
    <row r="115">
      <c r="A115" s="9" t="s">
        <v>641</v>
      </c>
      <c r="B115" s="9" t="str">
        <f t="shared" si="1"/>
        <v>Qvar</v>
      </c>
      <c r="C115" s="9">
        <v>3.8263972E8</v>
      </c>
      <c r="D115" s="9">
        <v>5.3874926E7</v>
      </c>
      <c r="E115" s="9">
        <v>7.3881984E7</v>
      </c>
      <c r="F115" s="9">
        <v>0.0</v>
      </c>
      <c r="G115" s="9">
        <v>2.90939592E8</v>
      </c>
      <c r="H115" s="18">
        <f t="shared" si="2"/>
        <v>801336222</v>
      </c>
      <c r="I115" s="58">
        <f t="shared" si="3"/>
        <v>47.7502089</v>
      </c>
      <c r="J115" s="58">
        <f t="shared" si="4"/>
        <v>6.723136247</v>
      </c>
      <c r="K115" s="58">
        <f t="shared" si="5"/>
        <v>9.219848295</v>
      </c>
      <c r="L115" s="58">
        <f t="shared" si="6"/>
        <v>0</v>
      </c>
      <c r="M115" s="58">
        <f t="shared" si="7"/>
        <v>36.30680656</v>
      </c>
      <c r="N115" s="58">
        <f t="shared" si="8"/>
        <v>63.69319344</v>
      </c>
    </row>
    <row r="116">
      <c r="A116" s="9" t="s">
        <v>642</v>
      </c>
      <c r="B116" s="9" t="str">
        <f t="shared" si="1"/>
        <v>Qvar</v>
      </c>
      <c r="C116" s="9">
        <v>3.1384706E8</v>
      </c>
      <c r="D116" s="9">
        <v>5.8281287E7</v>
      </c>
      <c r="E116" s="9">
        <v>7.5157301E7</v>
      </c>
      <c r="F116" s="9">
        <v>0.0</v>
      </c>
      <c r="G116" s="9">
        <v>3.54050574E8</v>
      </c>
      <c r="H116" s="18">
        <f t="shared" si="2"/>
        <v>801336222</v>
      </c>
      <c r="I116" s="58">
        <f t="shared" si="3"/>
        <v>39.1654653</v>
      </c>
      <c r="J116" s="58">
        <f t="shared" si="4"/>
        <v>7.273012925</v>
      </c>
      <c r="K116" s="58">
        <f t="shared" si="5"/>
        <v>9.378997097</v>
      </c>
      <c r="L116" s="58">
        <f t="shared" si="6"/>
        <v>0</v>
      </c>
      <c r="M116" s="58">
        <f t="shared" si="7"/>
        <v>44.18252467</v>
      </c>
      <c r="N116" s="58">
        <f t="shared" si="8"/>
        <v>55.81747533</v>
      </c>
    </row>
    <row r="117">
      <c r="A117" s="9" t="s">
        <v>643</v>
      </c>
      <c r="B117" s="9" t="str">
        <f t="shared" si="1"/>
        <v>Qvar</v>
      </c>
      <c r="C117" s="9">
        <v>3.01327258E8</v>
      </c>
      <c r="D117" s="9">
        <v>6.5394257E7</v>
      </c>
      <c r="E117" s="9">
        <v>8.2737823E7</v>
      </c>
      <c r="F117" s="9">
        <v>0.0</v>
      </c>
      <c r="G117" s="9">
        <v>3.51876884E8</v>
      </c>
      <c r="H117" s="18">
        <f t="shared" si="2"/>
        <v>801336222</v>
      </c>
      <c r="I117" s="58">
        <f t="shared" si="3"/>
        <v>37.60309964</v>
      </c>
      <c r="J117" s="58">
        <f t="shared" si="4"/>
        <v>8.160651572</v>
      </c>
      <c r="K117" s="58">
        <f t="shared" si="5"/>
        <v>10.32498229</v>
      </c>
      <c r="L117" s="58">
        <f t="shared" si="6"/>
        <v>0</v>
      </c>
      <c r="M117" s="58">
        <f t="shared" si="7"/>
        <v>43.9112665</v>
      </c>
      <c r="N117" s="58">
        <f t="shared" si="8"/>
        <v>56.0887335</v>
      </c>
    </row>
    <row r="118">
      <c r="A118" s="9" t="s">
        <v>644</v>
      </c>
      <c r="B118" s="9" t="str">
        <f t="shared" si="1"/>
        <v>Qvar</v>
      </c>
      <c r="C118" s="9">
        <v>3.08020179E8</v>
      </c>
      <c r="D118" s="9">
        <v>6.1718672E7</v>
      </c>
      <c r="E118" s="9">
        <v>8.1490901E7</v>
      </c>
      <c r="F118" s="9">
        <v>0.0</v>
      </c>
      <c r="G118" s="9">
        <v>3.5010647E8</v>
      </c>
      <c r="H118" s="18">
        <f t="shared" si="2"/>
        <v>801336222</v>
      </c>
      <c r="I118" s="58">
        <f t="shared" si="3"/>
        <v>38.43831971</v>
      </c>
      <c r="J118" s="58">
        <f t="shared" si="4"/>
        <v>7.701969574</v>
      </c>
      <c r="K118" s="58">
        <f t="shared" si="5"/>
        <v>10.16937694</v>
      </c>
      <c r="L118" s="58">
        <f t="shared" si="6"/>
        <v>0</v>
      </c>
      <c r="M118" s="58">
        <f t="shared" si="7"/>
        <v>43.69033377</v>
      </c>
      <c r="N118" s="58">
        <f t="shared" si="8"/>
        <v>56.30966623</v>
      </c>
    </row>
    <row r="119">
      <c r="A119" s="9" t="s">
        <v>645</v>
      </c>
      <c r="B119" s="9" t="str">
        <f t="shared" si="1"/>
        <v>Qvar</v>
      </c>
      <c r="C119" s="9">
        <v>3.04711077E8</v>
      </c>
      <c r="D119" s="9">
        <v>6.4145279E7</v>
      </c>
      <c r="E119" s="9">
        <v>8.595009E7</v>
      </c>
      <c r="F119" s="9">
        <v>0.0</v>
      </c>
      <c r="G119" s="9">
        <v>3.46529776E8</v>
      </c>
      <c r="H119" s="18">
        <f t="shared" si="2"/>
        <v>801336222</v>
      </c>
      <c r="I119" s="58">
        <f t="shared" si="3"/>
        <v>38.0253717</v>
      </c>
      <c r="J119" s="58">
        <f t="shared" si="4"/>
        <v>8.004789655</v>
      </c>
      <c r="K119" s="58">
        <f t="shared" si="5"/>
        <v>10.72584611</v>
      </c>
      <c r="L119" s="58">
        <f t="shared" si="6"/>
        <v>0</v>
      </c>
      <c r="M119" s="58">
        <f t="shared" si="7"/>
        <v>43.24399253</v>
      </c>
      <c r="N119" s="58">
        <f t="shared" si="8"/>
        <v>56.75600747</v>
      </c>
    </row>
    <row r="120">
      <c r="A120" s="9" t="s">
        <v>646</v>
      </c>
      <c r="B120" s="9" t="str">
        <f t="shared" si="1"/>
        <v>Qvar</v>
      </c>
      <c r="C120" s="9">
        <v>2.57001399E8</v>
      </c>
      <c r="D120" s="9">
        <v>7.3035159E7</v>
      </c>
      <c r="E120" s="9">
        <v>8.5838299E7</v>
      </c>
      <c r="F120" s="9">
        <v>0.0</v>
      </c>
      <c r="G120" s="9">
        <v>3.85461365E8</v>
      </c>
      <c r="H120" s="18">
        <f t="shared" si="2"/>
        <v>801336222</v>
      </c>
      <c r="I120" s="58">
        <f t="shared" si="3"/>
        <v>32.07160639</v>
      </c>
      <c r="J120" s="58">
        <f t="shared" si="4"/>
        <v>9.114171679</v>
      </c>
      <c r="K120" s="58">
        <f t="shared" si="5"/>
        <v>10.71189554</v>
      </c>
      <c r="L120" s="58">
        <f t="shared" si="6"/>
        <v>0</v>
      </c>
      <c r="M120" s="58">
        <f t="shared" si="7"/>
        <v>48.10232639</v>
      </c>
      <c r="N120" s="58">
        <f t="shared" si="8"/>
        <v>51.89767361</v>
      </c>
    </row>
    <row r="121">
      <c r="A121" s="9" t="s">
        <v>647</v>
      </c>
      <c r="B121" s="9" t="str">
        <f t="shared" si="1"/>
        <v>Qvar</v>
      </c>
      <c r="C121" s="9">
        <v>2.90026296E8</v>
      </c>
      <c r="D121" s="9">
        <v>6.0991182E7</v>
      </c>
      <c r="E121" s="9">
        <v>7.5920891E7</v>
      </c>
      <c r="F121" s="9">
        <v>0.0</v>
      </c>
      <c r="G121" s="9">
        <v>3.74397853E8</v>
      </c>
      <c r="H121" s="18">
        <f t="shared" si="2"/>
        <v>801336222</v>
      </c>
      <c r="I121" s="58">
        <f t="shared" si="3"/>
        <v>36.19283492</v>
      </c>
      <c r="J121" s="58">
        <f t="shared" si="4"/>
        <v>7.611184959</v>
      </c>
      <c r="K121" s="58">
        <f t="shared" si="5"/>
        <v>9.474286687</v>
      </c>
      <c r="L121" s="58">
        <f t="shared" si="6"/>
        <v>0</v>
      </c>
      <c r="M121" s="58">
        <f t="shared" si="7"/>
        <v>46.72169343</v>
      </c>
      <c r="N121" s="58">
        <f t="shared" si="8"/>
        <v>53.27830657</v>
      </c>
    </row>
    <row r="122">
      <c r="A122" s="9" t="s">
        <v>648</v>
      </c>
      <c r="B122" s="9" t="str">
        <f t="shared" si="1"/>
        <v>Qvar</v>
      </c>
      <c r="C122" s="9">
        <v>3.00401164E8</v>
      </c>
      <c r="D122" s="9">
        <v>6.1583149E7</v>
      </c>
      <c r="E122" s="9">
        <v>7.6874146E7</v>
      </c>
      <c r="F122" s="9">
        <v>0.0</v>
      </c>
      <c r="G122" s="9">
        <v>3.62477763E8</v>
      </c>
      <c r="H122" s="18">
        <f t="shared" si="2"/>
        <v>801336222</v>
      </c>
      <c r="I122" s="58">
        <f t="shared" si="3"/>
        <v>37.48753092</v>
      </c>
      <c r="J122" s="58">
        <f t="shared" si="4"/>
        <v>7.685057446</v>
      </c>
      <c r="K122" s="58">
        <f t="shared" si="5"/>
        <v>9.593244869</v>
      </c>
      <c r="L122" s="58">
        <f t="shared" si="6"/>
        <v>0</v>
      </c>
      <c r="M122" s="58">
        <f t="shared" si="7"/>
        <v>45.23416676</v>
      </c>
      <c r="N122" s="58">
        <f t="shared" si="8"/>
        <v>54.76583324</v>
      </c>
    </row>
    <row r="123">
      <c r="A123" s="9" t="s">
        <v>649</v>
      </c>
      <c r="B123" s="9" t="str">
        <f t="shared" si="1"/>
        <v>Qvar</v>
      </c>
      <c r="C123" s="9">
        <v>3.03065009E8</v>
      </c>
      <c r="D123" s="9">
        <v>6.5084989E7</v>
      </c>
      <c r="E123" s="9">
        <v>8.4140004E7</v>
      </c>
      <c r="F123" s="9">
        <v>0.0</v>
      </c>
      <c r="G123" s="9">
        <v>3.4904622E8</v>
      </c>
      <c r="H123" s="18">
        <f t="shared" si="2"/>
        <v>801336222</v>
      </c>
      <c r="I123" s="58">
        <f t="shared" si="3"/>
        <v>37.8199563</v>
      </c>
      <c r="J123" s="58">
        <f t="shared" si="4"/>
        <v>8.122057535</v>
      </c>
      <c r="K123" s="58">
        <f t="shared" si="5"/>
        <v>10.49996265</v>
      </c>
      <c r="L123" s="58">
        <f t="shared" si="6"/>
        <v>0</v>
      </c>
      <c r="M123" s="58">
        <f t="shared" si="7"/>
        <v>43.55802351</v>
      </c>
      <c r="N123" s="58">
        <f t="shared" si="8"/>
        <v>56.44197649</v>
      </c>
    </row>
    <row r="124">
      <c r="A124" s="9" t="s">
        <v>650</v>
      </c>
      <c r="B124" s="9" t="str">
        <f t="shared" si="1"/>
        <v>Qvar</v>
      </c>
      <c r="C124" s="9">
        <v>2.94983718E8</v>
      </c>
      <c r="D124" s="9">
        <v>6.3818198E7</v>
      </c>
      <c r="E124" s="9">
        <v>8.1712935E7</v>
      </c>
      <c r="F124" s="9">
        <v>0.0</v>
      </c>
      <c r="G124" s="9">
        <v>3.60821371E8</v>
      </c>
      <c r="H124" s="18">
        <f t="shared" si="2"/>
        <v>801336222</v>
      </c>
      <c r="I124" s="58">
        <f t="shared" si="3"/>
        <v>36.81147936</v>
      </c>
      <c r="J124" s="58">
        <f t="shared" si="4"/>
        <v>7.963972706</v>
      </c>
      <c r="K124" s="58">
        <f t="shared" si="5"/>
        <v>10.19708491</v>
      </c>
      <c r="L124" s="58">
        <f t="shared" si="6"/>
        <v>0</v>
      </c>
      <c r="M124" s="58">
        <f t="shared" si="7"/>
        <v>45.02746302</v>
      </c>
      <c r="N124" s="58">
        <f t="shared" si="8"/>
        <v>54.97253698</v>
      </c>
    </row>
    <row r="125">
      <c r="A125" s="9" t="s">
        <v>651</v>
      </c>
      <c r="B125" s="9" t="str">
        <f t="shared" si="1"/>
        <v>Qvar</v>
      </c>
      <c r="C125" s="9">
        <v>2.93400514E8</v>
      </c>
      <c r="D125" s="9">
        <v>6.9359251E7</v>
      </c>
      <c r="E125" s="9">
        <v>9.3472113E7</v>
      </c>
      <c r="F125" s="9">
        <v>0.0</v>
      </c>
      <c r="G125" s="9">
        <v>3.45104344E8</v>
      </c>
      <c r="H125" s="18">
        <f t="shared" si="2"/>
        <v>801336222</v>
      </c>
      <c r="I125" s="58">
        <f t="shared" si="3"/>
        <v>36.61390886</v>
      </c>
      <c r="J125" s="58">
        <f t="shared" si="4"/>
        <v>8.655449373</v>
      </c>
      <c r="K125" s="58">
        <f t="shared" si="5"/>
        <v>11.66453112</v>
      </c>
      <c r="L125" s="58">
        <f t="shared" si="6"/>
        <v>0</v>
      </c>
      <c r="M125" s="58">
        <f t="shared" si="7"/>
        <v>43.06611064</v>
      </c>
      <c r="N125" s="58">
        <f t="shared" si="8"/>
        <v>56.93388936</v>
      </c>
    </row>
    <row r="126">
      <c r="A126" s="9" t="s">
        <v>652</v>
      </c>
      <c r="B126" s="9" t="str">
        <f t="shared" si="1"/>
        <v>Qvar</v>
      </c>
      <c r="C126" s="9">
        <v>2.15831787E8</v>
      </c>
      <c r="D126" s="9">
        <v>7.3482612E7</v>
      </c>
      <c r="E126" s="9">
        <v>8.3946787E7</v>
      </c>
      <c r="F126" s="9">
        <v>0.0</v>
      </c>
      <c r="G126" s="9">
        <v>4.28075036E8</v>
      </c>
      <c r="H126" s="18">
        <f t="shared" si="2"/>
        <v>801336222</v>
      </c>
      <c r="I126" s="58">
        <f t="shared" si="3"/>
        <v>26.93398614</v>
      </c>
      <c r="J126" s="58">
        <f t="shared" si="4"/>
        <v>9.170010039</v>
      </c>
      <c r="K126" s="58">
        <f t="shared" si="5"/>
        <v>10.4758508</v>
      </c>
      <c r="L126" s="58">
        <f t="shared" si="6"/>
        <v>0</v>
      </c>
      <c r="M126" s="58">
        <f t="shared" si="7"/>
        <v>53.42015302</v>
      </c>
      <c r="N126" s="58">
        <f t="shared" si="8"/>
        <v>46.57984698</v>
      </c>
    </row>
    <row r="127">
      <c r="A127" s="9" t="s">
        <v>653</v>
      </c>
      <c r="B127" s="9" t="str">
        <f t="shared" si="1"/>
        <v>Qvar</v>
      </c>
      <c r="C127" s="9">
        <v>3.29930963E8</v>
      </c>
      <c r="D127" s="9">
        <v>6.5759974E7</v>
      </c>
      <c r="E127" s="9">
        <v>9.0669425E7</v>
      </c>
      <c r="F127" s="9">
        <v>0.0</v>
      </c>
      <c r="G127" s="9">
        <v>3.1497586E8</v>
      </c>
      <c r="H127" s="18">
        <f t="shared" si="2"/>
        <v>801336222</v>
      </c>
      <c r="I127" s="58">
        <f t="shared" si="3"/>
        <v>41.17260071</v>
      </c>
      <c r="J127" s="58">
        <f t="shared" si="4"/>
        <v>8.206289969</v>
      </c>
      <c r="K127" s="58">
        <f t="shared" si="5"/>
        <v>11.3147793</v>
      </c>
      <c r="L127" s="58">
        <f t="shared" si="6"/>
        <v>0</v>
      </c>
      <c r="M127" s="58">
        <f t="shared" si="7"/>
        <v>39.30633002</v>
      </c>
      <c r="N127" s="58">
        <f t="shared" si="8"/>
        <v>60.69366998</v>
      </c>
    </row>
    <row r="128">
      <c r="A128" s="9" t="s">
        <v>654</v>
      </c>
      <c r="B128" s="9" t="str">
        <f t="shared" si="1"/>
        <v>Qvar</v>
      </c>
      <c r="C128" s="9">
        <v>2.17057918E8</v>
      </c>
      <c r="D128" s="9">
        <v>7.3962643E7</v>
      </c>
      <c r="E128" s="9">
        <v>8.3082599E7</v>
      </c>
      <c r="F128" s="9">
        <v>0.0</v>
      </c>
      <c r="G128" s="9">
        <v>4.27233062E8</v>
      </c>
      <c r="H128" s="18">
        <f t="shared" si="2"/>
        <v>801336222</v>
      </c>
      <c r="I128" s="58">
        <f t="shared" si="3"/>
        <v>27.08699695</v>
      </c>
      <c r="J128" s="58">
        <f t="shared" si="4"/>
        <v>9.229913858</v>
      </c>
      <c r="K128" s="58">
        <f t="shared" si="5"/>
        <v>10.36800743</v>
      </c>
      <c r="L128" s="58">
        <f t="shared" si="6"/>
        <v>0</v>
      </c>
      <c r="M128" s="58">
        <f t="shared" si="7"/>
        <v>53.31508177</v>
      </c>
      <c r="N128" s="58">
        <f t="shared" si="8"/>
        <v>46.68491823</v>
      </c>
    </row>
    <row r="129">
      <c r="A129" s="9" t="s">
        <v>655</v>
      </c>
      <c r="B129" s="9" t="str">
        <f t="shared" si="1"/>
        <v>Qvar</v>
      </c>
      <c r="C129" s="9">
        <v>2.12131474E8</v>
      </c>
      <c r="D129" s="9">
        <v>6.857454E7</v>
      </c>
      <c r="E129" s="9">
        <v>7.4919809E7</v>
      </c>
      <c r="F129" s="9">
        <v>0.0</v>
      </c>
      <c r="G129" s="9">
        <v>4.45710399E8</v>
      </c>
      <c r="H129" s="18">
        <f t="shared" si="2"/>
        <v>801336222</v>
      </c>
      <c r="I129" s="58">
        <f t="shared" si="3"/>
        <v>26.4722183</v>
      </c>
      <c r="J129" s="58">
        <f t="shared" si="4"/>
        <v>8.55752406</v>
      </c>
      <c r="K129" s="58">
        <f t="shared" si="5"/>
        <v>9.349360099</v>
      </c>
      <c r="L129" s="58">
        <f t="shared" si="6"/>
        <v>0</v>
      </c>
      <c r="M129" s="58">
        <f t="shared" si="7"/>
        <v>55.62089754</v>
      </c>
      <c r="N129" s="58">
        <f t="shared" si="8"/>
        <v>44.37910246</v>
      </c>
    </row>
    <row r="130">
      <c r="A130" s="9" t="s">
        <v>656</v>
      </c>
      <c r="B130" s="9" t="str">
        <f t="shared" si="1"/>
        <v>Qvar</v>
      </c>
      <c r="C130" s="9">
        <v>2.08794926E8</v>
      </c>
      <c r="D130" s="9">
        <v>6.8187101E7</v>
      </c>
      <c r="E130" s="9">
        <v>7.2360268E7</v>
      </c>
      <c r="F130" s="9">
        <v>0.0</v>
      </c>
      <c r="G130" s="9">
        <v>4.51993927E8</v>
      </c>
      <c r="H130" s="18">
        <f t="shared" si="2"/>
        <v>801336222</v>
      </c>
      <c r="I130" s="58">
        <f t="shared" si="3"/>
        <v>26.05584526</v>
      </c>
      <c r="J130" s="58">
        <f t="shared" si="4"/>
        <v>8.509174942</v>
      </c>
      <c r="K130" s="58">
        <f t="shared" si="5"/>
        <v>9.029950976</v>
      </c>
      <c r="L130" s="58">
        <f t="shared" si="6"/>
        <v>0</v>
      </c>
      <c r="M130" s="58">
        <f t="shared" si="7"/>
        <v>56.40502882</v>
      </c>
      <c r="N130" s="58">
        <f t="shared" si="8"/>
        <v>43.59497118</v>
      </c>
    </row>
    <row r="131">
      <c r="A131" s="9" t="s">
        <v>657</v>
      </c>
      <c r="B131" s="9" t="str">
        <f t="shared" si="1"/>
        <v>Qvar</v>
      </c>
      <c r="C131" s="9">
        <v>2.56584117E8</v>
      </c>
      <c r="D131" s="9">
        <v>7.3791734E7</v>
      </c>
      <c r="E131" s="9">
        <v>8.8527786E7</v>
      </c>
      <c r="F131" s="9">
        <v>0.0</v>
      </c>
      <c r="G131" s="9">
        <v>3.82432585E8</v>
      </c>
      <c r="H131" s="18">
        <f t="shared" si="2"/>
        <v>801336222</v>
      </c>
      <c r="I131" s="58">
        <f t="shared" si="3"/>
        <v>32.01953312</v>
      </c>
      <c r="J131" s="58">
        <f t="shared" si="4"/>
        <v>9.208585856</v>
      </c>
      <c r="K131" s="58">
        <f t="shared" si="5"/>
        <v>11.04752082</v>
      </c>
      <c r="L131" s="58">
        <f t="shared" si="6"/>
        <v>0</v>
      </c>
      <c r="M131" s="58">
        <f t="shared" si="7"/>
        <v>47.7243602</v>
      </c>
      <c r="N131" s="58">
        <f t="shared" si="8"/>
        <v>52.2756398</v>
      </c>
    </row>
    <row r="132">
      <c r="A132" s="9" t="s">
        <v>658</v>
      </c>
      <c r="B132" s="9" t="str">
        <f t="shared" si="1"/>
        <v>Qvar</v>
      </c>
      <c r="C132" s="9">
        <v>2.60185978E8</v>
      </c>
      <c r="D132" s="9">
        <v>7.4831048E7</v>
      </c>
      <c r="E132" s="9">
        <v>8.9146336E7</v>
      </c>
      <c r="F132" s="9">
        <v>0.0</v>
      </c>
      <c r="G132" s="9">
        <v>3.7717286E8</v>
      </c>
      <c r="H132" s="18">
        <f t="shared" si="2"/>
        <v>801336222</v>
      </c>
      <c r="I132" s="58">
        <f t="shared" si="3"/>
        <v>32.46901498</v>
      </c>
      <c r="J132" s="58">
        <f t="shared" si="4"/>
        <v>9.338283475</v>
      </c>
      <c r="K132" s="58">
        <f t="shared" si="5"/>
        <v>11.12471065</v>
      </c>
      <c r="L132" s="58">
        <f t="shared" si="6"/>
        <v>0</v>
      </c>
      <c r="M132" s="58">
        <f t="shared" si="7"/>
        <v>47.06799089</v>
      </c>
      <c r="N132" s="58">
        <f t="shared" si="8"/>
        <v>52.93200911</v>
      </c>
    </row>
    <row r="133">
      <c r="A133" s="9" t="s">
        <v>659</v>
      </c>
      <c r="B133" s="9" t="str">
        <f t="shared" si="1"/>
        <v>Qvar</v>
      </c>
      <c r="C133" s="9">
        <v>2.33291244E8</v>
      </c>
      <c r="D133" s="9">
        <v>7.7282421E7</v>
      </c>
      <c r="E133" s="9">
        <v>8.9773258E7</v>
      </c>
      <c r="F133" s="9">
        <v>0.0</v>
      </c>
      <c r="G133" s="9">
        <v>4.00989299E8</v>
      </c>
      <c r="H133" s="18">
        <f t="shared" si="2"/>
        <v>801336222</v>
      </c>
      <c r="I133" s="58">
        <f t="shared" si="3"/>
        <v>29.11277908</v>
      </c>
      <c r="J133" s="58">
        <f t="shared" si="4"/>
        <v>9.644194145</v>
      </c>
      <c r="K133" s="58">
        <f t="shared" si="5"/>
        <v>11.20294522</v>
      </c>
      <c r="L133" s="58">
        <f t="shared" si="6"/>
        <v>0</v>
      </c>
      <c r="M133" s="58">
        <f t="shared" si="7"/>
        <v>50.04008155</v>
      </c>
      <c r="N133" s="58">
        <f t="shared" si="8"/>
        <v>49.95991845</v>
      </c>
    </row>
    <row r="134">
      <c r="A134" s="9" t="s">
        <v>660</v>
      </c>
      <c r="B134" s="9" t="str">
        <f t="shared" si="1"/>
        <v>Qvar</v>
      </c>
      <c r="C134" s="9">
        <v>3.00596588E8</v>
      </c>
      <c r="D134" s="9">
        <v>6.1220703E7</v>
      </c>
      <c r="E134" s="9">
        <v>7.6851874E7</v>
      </c>
      <c r="F134" s="9">
        <v>0.0</v>
      </c>
      <c r="G134" s="9">
        <v>3.62667057E8</v>
      </c>
      <c r="H134" s="18">
        <f t="shared" si="2"/>
        <v>801336222</v>
      </c>
      <c r="I134" s="58">
        <f t="shared" si="3"/>
        <v>37.51191819</v>
      </c>
      <c r="J134" s="58">
        <f t="shared" si="4"/>
        <v>7.639827243</v>
      </c>
      <c r="K134" s="58">
        <f t="shared" si="5"/>
        <v>9.590465511</v>
      </c>
      <c r="L134" s="58">
        <f t="shared" si="6"/>
        <v>0</v>
      </c>
      <c r="M134" s="58">
        <f t="shared" si="7"/>
        <v>45.25778906</v>
      </c>
      <c r="N134" s="58">
        <f t="shared" si="8"/>
        <v>54.74221094</v>
      </c>
    </row>
    <row r="135">
      <c r="A135" s="9" t="s">
        <v>661</v>
      </c>
      <c r="B135" s="9" t="str">
        <f t="shared" si="1"/>
        <v>Qvar</v>
      </c>
      <c r="C135" s="9">
        <v>3.02385275E8</v>
      </c>
      <c r="D135" s="9">
        <v>6.0855886E7</v>
      </c>
      <c r="E135" s="9">
        <v>7.6125589E7</v>
      </c>
      <c r="F135" s="9">
        <v>0.0</v>
      </c>
      <c r="G135" s="9">
        <v>3.61969472E8</v>
      </c>
      <c r="H135" s="18">
        <f t="shared" si="2"/>
        <v>801336222</v>
      </c>
      <c r="I135" s="58">
        <f t="shared" si="3"/>
        <v>37.73513123</v>
      </c>
      <c r="J135" s="58">
        <f t="shared" si="4"/>
        <v>7.59430116</v>
      </c>
      <c r="K135" s="58">
        <f t="shared" si="5"/>
        <v>9.499831271</v>
      </c>
      <c r="L135" s="58">
        <f t="shared" si="6"/>
        <v>0</v>
      </c>
      <c r="M135" s="58">
        <f t="shared" si="7"/>
        <v>45.17073634</v>
      </c>
      <c r="N135" s="58">
        <f t="shared" si="8"/>
        <v>54.82926366</v>
      </c>
    </row>
    <row r="136">
      <c r="A136" s="9" t="s">
        <v>662</v>
      </c>
      <c r="B136" s="9" t="str">
        <f t="shared" si="1"/>
        <v>Qvar</v>
      </c>
      <c r="C136" s="9">
        <v>3.03956775E8</v>
      </c>
      <c r="D136" s="9">
        <v>7.2130053E7</v>
      </c>
      <c r="E136" s="9">
        <v>9.5545711E7</v>
      </c>
      <c r="F136" s="9">
        <v>0.0</v>
      </c>
      <c r="G136" s="9">
        <v>3.29703683E8</v>
      </c>
      <c r="H136" s="18">
        <f t="shared" si="2"/>
        <v>801336222</v>
      </c>
      <c r="I136" s="58">
        <f t="shared" si="3"/>
        <v>37.93124118</v>
      </c>
      <c r="J136" s="58">
        <f t="shared" si="4"/>
        <v>9.001222086</v>
      </c>
      <c r="K136" s="58">
        <f t="shared" si="5"/>
        <v>11.92329866</v>
      </c>
      <c r="L136" s="58">
        <f t="shared" si="6"/>
        <v>0</v>
      </c>
      <c r="M136" s="58">
        <f t="shared" si="7"/>
        <v>41.14423808</v>
      </c>
      <c r="N136" s="58">
        <f t="shared" si="8"/>
        <v>58.85576192</v>
      </c>
    </row>
    <row r="137">
      <c r="A137" s="9" t="s">
        <v>663</v>
      </c>
      <c r="B137" s="9" t="str">
        <f t="shared" si="1"/>
        <v>Qvar</v>
      </c>
      <c r="C137" s="9">
        <v>2.86618553E8</v>
      </c>
      <c r="D137" s="9">
        <v>6.1062898E7</v>
      </c>
      <c r="E137" s="9">
        <v>7.259522E7</v>
      </c>
      <c r="F137" s="9">
        <v>0.0</v>
      </c>
      <c r="G137" s="9">
        <v>3.81059551E8</v>
      </c>
      <c r="H137" s="18">
        <f t="shared" si="2"/>
        <v>801336222</v>
      </c>
      <c r="I137" s="58">
        <f t="shared" si="3"/>
        <v>35.76757735</v>
      </c>
      <c r="J137" s="58">
        <f t="shared" si="4"/>
        <v>7.620134511</v>
      </c>
      <c r="K137" s="58">
        <f t="shared" si="5"/>
        <v>9.059271003</v>
      </c>
      <c r="L137" s="58">
        <f t="shared" si="6"/>
        <v>0</v>
      </c>
      <c r="M137" s="58">
        <f t="shared" si="7"/>
        <v>47.55301714</v>
      </c>
      <c r="N137" s="58">
        <f t="shared" si="8"/>
        <v>52.44698286</v>
      </c>
    </row>
    <row r="138">
      <c r="A138" s="9" t="s">
        <v>664</v>
      </c>
      <c r="B138" s="9" t="str">
        <f t="shared" si="1"/>
        <v>Qvar</v>
      </c>
      <c r="C138" s="9">
        <v>3.07755615E8</v>
      </c>
      <c r="D138" s="9">
        <v>6.3012564E7</v>
      </c>
      <c r="E138" s="9">
        <v>7.8223766E7</v>
      </c>
      <c r="F138" s="9">
        <v>0.0</v>
      </c>
      <c r="G138" s="9">
        <v>3.52344277E8</v>
      </c>
      <c r="H138" s="18">
        <f t="shared" si="2"/>
        <v>801336222</v>
      </c>
      <c r="I138" s="58">
        <f t="shared" si="3"/>
        <v>38.40530436</v>
      </c>
      <c r="J138" s="58">
        <f t="shared" si="4"/>
        <v>7.863436379</v>
      </c>
      <c r="K138" s="58">
        <f t="shared" si="5"/>
        <v>9.761666059</v>
      </c>
      <c r="L138" s="58">
        <f t="shared" si="6"/>
        <v>0</v>
      </c>
      <c r="M138" s="58">
        <f t="shared" si="7"/>
        <v>43.9695932</v>
      </c>
      <c r="N138" s="58">
        <f t="shared" si="8"/>
        <v>56.0304068</v>
      </c>
    </row>
    <row r="139">
      <c r="A139" s="9" t="s">
        <v>665</v>
      </c>
      <c r="B139" s="9" t="str">
        <f t="shared" si="1"/>
        <v>Qvar</v>
      </c>
      <c r="C139" s="9">
        <v>2.47863158E8</v>
      </c>
      <c r="D139" s="9">
        <v>6.865738E7</v>
      </c>
      <c r="E139" s="9">
        <v>7.9718342E7</v>
      </c>
      <c r="F139" s="9">
        <v>0.0</v>
      </c>
      <c r="G139" s="9">
        <v>4.05097342E8</v>
      </c>
      <c r="H139" s="18">
        <f t="shared" si="2"/>
        <v>801336222</v>
      </c>
      <c r="I139" s="58">
        <f t="shared" si="3"/>
        <v>30.93123101</v>
      </c>
      <c r="J139" s="58">
        <f t="shared" si="4"/>
        <v>8.567861793</v>
      </c>
      <c r="K139" s="58">
        <f t="shared" si="5"/>
        <v>9.948176535</v>
      </c>
      <c r="L139" s="58">
        <f t="shared" si="6"/>
        <v>0</v>
      </c>
      <c r="M139" s="58">
        <f t="shared" si="7"/>
        <v>50.55273066</v>
      </c>
      <c r="N139" s="58">
        <f t="shared" si="8"/>
        <v>49.44726934</v>
      </c>
    </row>
    <row r="140">
      <c r="A140" s="9" t="s">
        <v>666</v>
      </c>
      <c r="B140" s="9" t="str">
        <f t="shared" si="1"/>
        <v>Qvar</v>
      </c>
      <c r="C140" s="9">
        <v>2.96420764E8</v>
      </c>
      <c r="D140" s="9">
        <v>8.7629038E7</v>
      </c>
      <c r="E140" s="9">
        <v>1.4025965E8</v>
      </c>
      <c r="F140" s="9">
        <v>0.0</v>
      </c>
      <c r="G140" s="9">
        <v>2.7702677E8</v>
      </c>
      <c r="H140" s="18">
        <f t="shared" si="2"/>
        <v>801336222</v>
      </c>
      <c r="I140" s="58">
        <f t="shared" si="3"/>
        <v>36.99081058</v>
      </c>
      <c r="J140" s="58">
        <f t="shared" si="4"/>
        <v>10.93536466</v>
      </c>
      <c r="K140" s="58">
        <f t="shared" si="5"/>
        <v>17.50322101</v>
      </c>
      <c r="L140" s="58">
        <f t="shared" si="6"/>
        <v>0</v>
      </c>
      <c r="M140" s="58">
        <f t="shared" si="7"/>
        <v>34.57060375</v>
      </c>
      <c r="N140" s="58">
        <f t="shared" si="8"/>
        <v>65.42939625</v>
      </c>
    </row>
    <row r="141">
      <c r="A141" s="9" t="s">
        <v>667</v>
      </c>
      <c r="B141" s="9" t="str">
        <f t="shared" si="1"/>
        <v>Qvar</v>
      </c>
      <c r="C141" s="9">
        <v>2.9282539E8</v>
      </c>
      <c r="D141" s="9">
        <v>7.6511761E7</v>
      </c>
      <c r="E141" s="9">
        <v>9.613575E7</v>
      </c>
      <c r="F141" s="9">
        <v>0.0</v>
      </c>
      <c r="G141" s="9">
        <v>3.35863321E8</v>
      </c>
      <c r="H141" s="18">
        <f t="shared" si="2"/>
        <v>801336222</v>
      </c>
      <c r="I141" s="58">
        <f t="shared" si="3"/>
        <v>36.54213824</v>
      </c>
      <c r="J141" s="58">
        <f t="shared" si="4"/>
        <v>9.548022278</v>
      </c>
      <c r="K141" s="58">
        <f t="shared" si="5"/>
        <v>11.99693055</v>
      </c>
      <c r="L141" s="58">
        <f t="shared" si="6"/>
        <v>0</v>
      </c>
      <c r="M141" s="58">
        <f t="shared" si="7"/>
        <v>41.91290894</v>
      </c>
      <c r="N141" s="58">
        <f t="shared" si="8"/>
        <v>58.08709106</v>
      </c>
    </row>
    <row r="142">
      <c r="A142" s="9" t="s">
        <v>668</v>
      </c>
      <c r="B142" s="9" t="str">
        <f t="shared" si="1"/>
        <v>Qvar</v>
      </c>
      <c r="C142" s="9">
        <v>2.8383009E8</v>
      </c>
      <c r="D142" s="9">
        <v>6.5120384E7</v>
      </c>
      <c r="E142" s="9">
        <v>7.736105E7</v>
      </c>
      <c r="F142" s="9">
        <v>0.0</v>
      </c>
      <c r="G142" s="9">
        <v>3.75024698E8</v>
      </c>
      <c r="H142" s="18">
        <f t="shared" si="2"/>
        <v>801336222</v>
      </c>
      <c r="I142" s="58">
        <f t="shared" si="3"/>
        <v>35.41960069</v>
      </c>
      <c r="J142" s="58">
        <f t="shared" si="4"/>
        <v>8.126474532</v>
      </c>
      <c r="K142" s="58">
        <f t="shared" si="5"/>
        <v>9.65400638</v>
      </c>
      <c r="L142" s="58">
        <f t="shared" si="6"/>
        <v>0</v>
      </c>
      <c r="M142" s="58">
        <f t="shared" si="7"/>
        <v>46.7999184</v>
      </c>
      <c r="N142" s="58">
        <f t="shared" si="8"/>
        <v>53.2000816</v>
      </c>
    </row>
    <row r="143">
      <c r="A143" s="9" t="s">
        <v>669</v>
      </c>
      <c r="B143" s="9" t="str">
        <f t="shared" si="1"/>
        <v>Qvar</v>
      </c>
      <c r="C143" s="9">
        <v>1.4910014E8</v>
      </c>
      <c r="D143" s="9">
        <v>4.4859198E7</v>
      </c>
      <c r="E143" s="9">
        <v>3.6613609E7</v>
      </c>
      <c r="F143" s="9">
        <v>0.0</v>
      </c>
      <c r="G143" s="9">
        <v>5.70763275E8</v>
      </c>
      <c r="H143" s="18">
        <f t="shared" si="2"/>
        <v>801336222</v>
      </c>
      <c r="I143" s="58">
        <f t="shared" si="3"/>
        <v>18.60643958</v>
      </c>
      <c r="J143" s="58">
        <f t="shared" si="4"/>
        <v>5.598049454</v>
      </c>
      <c r="K143" s="58">
        <f t="shared" si="5"/>
        <v>4.569069511</v>
      </c>
      <c r="L143" s="58">
        <f t="shared" si="6"/>
        <v>0</v>
      </c>
      <c r="M143" s="58">
        <f t="shared" si="7"/>
        <v>71.22644145</v>
      </c>
      <c r="N143" s="58">
        <f t="shared" si="8"/>
        <v>28.77355855</v>
      </c>
    </row>
    <row r="144">
      <c r="A144" s="9" t="s">
        <v>670</v>
      </c>
      <c r="B144" s="9" t="str">
        <f t="shared" si="1"/>
        <v>Qvar</v>
      </c>
      <c r="C144" s="9">
        <v>3.14145603E8</v>
      </c>
      <c r="D144" s="9">
        <v>7.8028793E7</v>
      </c>
      <c r="E144" s="9">
        <v>1.15392917E8</v>
      </c>
      <c r="F144" s="9">
        <v>0.0</v>
      </c>
      <c r="G144" s="9">
        <v>2.93768909E8</v>
      </c>
      <c r="H144" s="18">
        <f t="shared" si="2"/>
        <v>801336222</v>
      </c>
      <c r="I144" s="58">
        <f t="shared" si="3"/>
        <v>39.20272095</v>
      </c>
      <c r="J144" s="58">
        <f t="shared" si="4"/>
        <v>9.737335073</v>
      </c>
      <c r="K144" s="58">
        <f t="shared" si="5"/>
        <v>14.40006252</v>
      </c>
      <c r="L144" s="58">
        <f t="shared" si="6"/>
        <v>0</v>
      </c>
      <c r="M144" s="58">
        <f t="shared" si="7"/>
        <v>36.65988145</v>
      </c>
      <c r="N144" s="58">
        <f t="shared" si="8"/>
        <v>63.34011855</v>
      </c>
    </row>
    <row r="145">
      <c r="A145" s="9" t="s">
        <v>671</v>
      </c>
      <c r="B145" s="9" t="str">
        <f t="shared" si="1"/>
        <v>Qvar</v>
      </c>
      <c r="C145" s="9">
        <v>3.21912986E8</v>
      </c>
      <c r="D145" s="9">
        <v>8.0836229E7</v>
      </c>
      <c r="E145" s="9">
        <v>1.25191973E8</v>
      </c>
      <c r="F145" s="9">
        <v>0.0</v>
      </c>
      <c r="G145" s="9">
        <v>2.73395034E8</v>
      </c>
      <c r="H145" s="18">
        <f t="shared" si="2"/>
        <v>801336222</v>
      </c>
      <c r="I145" s="58">
        <f t="shared" si="3"/>
        <v>40.17202482</v>
      </c>
      <c r="J145" s="58">
        <f t="shared" si="4"/>
        <v>10.0876794</v>
      </c>
      <c r="K145" s="58">
        <f t="shared" si="5"/>
        <v>15.62290204</v>
      </c>
      <c r="L145" s="58">
        <f t="shared" si="6"/>
        <v>0</v>
      </c>
      <c r="M145" s="58">
        <f t="shared" si="7"/>
        <v>34.11739373</v>
      </c>
      <c r="N145" s="58">
        <f t="shared" si="8"/>
        <v>65.88260627</v>
      </c>
    </row>
    <row r="146">
      <c r="A146" s="9" t="s">
        <v>672</v>
      </c>
      <c r="B146" s="9" t="str">
        <f t="shared" si="1"/>
        <v>Qvar</v>
      </c>
      <c r="C146" s="9">
        <v>3.00411776E8</v>
      </c>
      <c r="D146" s="9">
        <v>7.7849942E7</v>
      </c>
      <c r="E146" s="9">
        <v>1.07571183E8</v>
      </c>
      <c r="F146" s="9">
        <v>0.0</v>
      </c>
      <c r="G146" s="9">
        <v>3.15503321E8</v>
      </c>
      <c r="H146" s="18">
        <f t="shared" si="2"/>
        <v>801336222</v>
      </c>
      <c r="I146" s="58">
        <f t="shared" si="3"/>
        <v>37.48885521</v>
      </c>
      <c r="J146" s="58">
        <f t="shared" si="4"/>
        <v>9.715015977</v>
      </c>
      <c r="K146" s="58">
        <f t="shared" si="5"/>
        <v>13.42397611</v>
      </c>
      <c r="L146" s="58">
        <f t="shared" si="6"/>
        <v>0</v>
      </c>
      <c r="M146" s="58">
        <f t="shared" si="7"/>
        <v>39.3721527</v>
      </c>
      <c r="N146" s="58">
        <f t="shared" si="8"/>
        <v>60.6278473</v>
      </c>
    </row>
    <row r="147">
      <c r="A147" s="9" t="s">
        <v>673</v>
      </c>
      <c r="B147" s="9" t="str">
        <f t="shared" si="1"/>
        <v>Qvar</v>
      </c>
      <c r="C147" s="9">
        <v>2.98855378E8</v>
      </c>
      <c r="D147" s="9">
        <v>8.1245277E7</v>
      </c>
      <c r="E147" s="9">
        <v>1.14151205E8</v>
      </c>
      <c r="F147" s="9">
        <v>0.0</v>
      </c>
      <c r="G147" s="9">
        <v>3.07084362E8</v>
      </c>
      <c r="H147" s="18">
        <f t="shared" si="2"/>
        <v>801336222</v>
      </c>
      <c r="I147" s="58">
        <f t="shared" si="3"/>
        <v>37.29462987</v>
      </c>
      <c r="J147" s="58">
        <f t="shared" si="4"/>
        <v>10.13872514</v>
      </c>
      <c r="K147" s="58">
        <f t="shared" si="5"/>
        <v>14.24510734</v>
      </c>
      <c r="L147" s="58">
        <f t="shared" si="6"/>
        <v>0</v>
      </c>
      <c r="M147" s="58">
        <f t="shared" si="7"/>
        <v>38.32153765</v>
      </c>
      <c r="N147" s="58">
        <f t="shared" si="8"/>
        <v>61.67846235</v>
      </c>
    </row>
    <row r="148">
      <c r="A148" s="9" t="s">
        <v>674</v>
      </c>
      <c r="B148" s="9" t="str">
        <f t="shared" si="1"/>
        <v>Qvar</v>
      </c>
      <c r="C148" s="9">
        <v>3.09682838E8</v>
      </c>
      <c r="D148" s="9">
        <v>7.8801593E7</v>
      </c>
      <c r="E148" s="9">
        <v>1.1398727E8</v>
      </c>
      <c r="F148" s="9">
        <v>0.0</v>
      </c>
      <c r="G148" s="9">
        <v>2.98864521E8</v>
      </c>
      <c r="H148" s="18">
        <f t="shared" si="2"/>
        <v>801336222</v>
      </c>
      <c r="I148" s="58">
        <f t="shared" si="3"/>
        <v>38.64580553</v>
      </c>
      <c r="J148" s="58">
        <f t="shared" si="4"/>
        <v>9.833773994</v>
      </c>
      <c r="K148" s="58">
        <f t="shared" si="5"/>
        <v>14.22464964</v>
      </c>
      <c r="L148" s="58">
        <f t="shared" si="6"/>
        <v>0</v>
      </c>
      <c r="M148" s="58">
        <f t="shared" si="7"/>
        <v>37.29577084</v>
      </c>
      <c r="N148" s="58">
        <f t="shared" si="8"/>
        <v>62.70422916</v>
      </c>
    </row>
    <row r="149">
      <c r="A149" s="9" t="s">
        <v>675</v>
      </c>
      <c r="B149" s="9" t="str">
        <f t="shared" si="1"/>
        <v>Qvar</v>
      </c>
      <c r="C149" s="9">
        <v>3.19280244E8</v>
      </c>
      <c r="D149" s="9">
        <v>7.981525E7</v>
      </c>
      <c r="E149" s="9">
        <v>1.20591456E8</v>
      </c>
      <c r="F149" s="9">
        <v>0.0</v>
      </c>
      <c r="G149" s="9">
        <v>2.81649272E8</v>
      </c>
      <c r="H149" s="18">
        <f t="shared" si="2"/>
        <v>801336222</v>
      </c>
      <c r="I149" s="58">
        <f t="shared" si="3"/>
        <v>39.84348083</v>
      </c>
      <c r="J149" s="58">
        <f t="shared" si="4"/>
        <v>9.960269835</v>
      </c>
      <c r="K149" s="58">
        <f t="shared" si="5"/>
        <v>15.04879633</v>
      </c>
      <c r="L149" s="58">
        <f t="shared" si="6"/>
        <v>0</v>
      </c>
      <c r="M149" s="58">
        <f t="shared" si="7"/>
        <v>35.147453</v>
      </c>
      <c r="N149" s="58">
        <f t="shared" si="8"/>
        <v>64.852547</v>
      </c>
    </row>
    <row r="150">
      <c r="A150" s="9" t="s">
        <v>676</v>
      </c>
      <c r="B150" s="9" t="str">
        <f t="shared" si="1"/>
        <v>Qvar</v>
      </c>
      <c r="C150" s="9">
        <v>3.12627287E8</v>
      </c>
      <c r="D150" s="9">
        <v>7.6191122E7</v>
      </c>
      <c r="E150" s="9">
        <v>1.10285452E8</v>
      </c>
      <c r="F150" s="9">
        <v>0.0</v>
      </c>
      <c r="G150" s="9">
        <v>3.02232361E8</v>
      </c>
      <c r="H150" s="18">
        <f t="shared" si="2"/>
        <v>801336222</v>
      </c>
      <c r="I150" s="58">
        <f t="shared" si="3"/>
        <v>39.01324792</v>
      </c>
      <c r="J150" s="58">
        <f t="shared" si="4"/>
        <v>9.508009236</v>
      </c>
      <c r="K150" s="58">
        <f t="shared" si="5"/>
        <v>13.76269398</v>
      </c>
      <c r="L150" s="58">
        <f t="shared" si="6"/>
        <v>0</v>
      </c>
      <c r="M150" s="58">
        <f t="shared" si="7"/>
        <v>37.71604886</v>
      </c>
      <c r="N150" s="58">
        <f t="shared" si="8"/>
        <v>62.28395114</v>
      </c>
    </row>
    <row r="151">
      <c r="A151" s="9" t="s">
        <v>677</v>
      </c>
      <c r="B151" s="9" t="str">
        <f t="shared" si="1"/>
        <v>Qvar</v>
      </c>
      <c r="C151" s="9">
        <v>3.24762413E8</v>
      </c>
      <c r="D151" s="9">
        <v>7.9756566E7</v>
      </c>
      <c r="E151" s="9">
        <v>1.2500908E8</v>
      </c>
      <c r="F151" s="9">
        <v>0.0</v>
      </c>
      <c r="G151" s="9">
        <v>2.71808163E8</v>
      </c>
      <c r="H151" s="18">
        <f t="shared" si="2"/>
        <v>801336222</v>
      </c>
      <c r="I151" s="58">
        <f t="shared" si="3"/>
        <v>40.52760927</v>
      </c>
      <c r="J151" s="58">
        <f t="shared" si="4"/>
        <v>9.952946567</v>
      </c>
      <c r="K151" s="58">
        <f t="shared" si="5"/>
        <v>15.60007854</v>
      </c>
      <c r="L151" s="58">
        <f t="shared" si="6"/>
        <v>0</v>
      </c>
      <c r="M151" s="58">
        <f t="shared" si="7"/>
        <v>33.91936562</v>
      </c>
      <c r="N151" s="58">
        <f t="shared" si="8"/>
        <v>66.08063438</v>
      </c>
    </row>
    <row r="152">
      <c r="A152" s="9" t="s">
        <v>678</v>
      </c>
      <c r="B152" s="9" t="str">
        <f t="shared" si="1"/>
        <v>Qvar</v>
      </c>
      <c r="C152" s="9">
        <v>3.28266492E8</v>
      </c>
      <c r="D152" s="9">
        <v>8.3903565E7</v>
      </c>
      <c r="E152" s="9">
        <v>1.37566191E8</v>
      </c>
      <c r="F152" s="9">
        <v>0.0</v>
      </c>
      <c r="G152" s="9">
        <v>2.51599974E8</v>
      </c>
      <c r="H152" s="18">
        <f t="shared" si="2"/>
        <v>801336222</v>
      </c>
      <c r="I152" s="58">
        <f t="shared" si="3"/>
        <v>40.96488877</v>
      </c>
      <c r="J152" s="58">
        <f t="shared" si="4"/>
        <v>10.47045706</v>
      </c>
      <c r="K152" s="58">
        <f t="shared" si="5"/>
        <v>17.16710005</v>
      </c>
      <c r="L152" s="58">
        <f t="shared" si="6"/>
        <v>0</v>
      </c>
      <c r="M152" s="58">
        <f t="shared" si="7"/>
        <v>31.39755412</v>
      </c>
      <c r="N152" s="58">
        <f t="shared" si="8"/>
        <v>68.60244588</v>
      </c>
    </row>
    <row r="153">
      <c r="A153" s="9" t="s">
        <v>679</v>
      </c>
      <c r="B153" s="9" t="str">
        <f t="shared" si="1"/>
        <v>Qvar</v>
      </c>
      <c r="C153" s="9">
        <v>3.27027271E8</v>
      </c>
      <c r="D153" s="9">
        <v>8.301605E7</v>
      </c>
      <c r="E153" s="9">
        <v>1.34934841E8</v>
      </c>
      <c r="F153" s="9">
        <v>0.0</v>
      </c>
      <c r="G153" s="9">
        <v>2.5635806E8</v>
      </c>
      <c r="H153" s="18">
        <f t="shared" si="2"/>
        <v>801336222</v>
      </c>
      <c r="I153" s="58">
        <f t="shared" si="3"/>
        <v>40.81024444</v>
      </c>
      <c r="J153" s="58">
        <f t="shared" si="4"/>
        <v>10.35970267</v>
      </c>
      <c r="K153" s="58">
        <f t="shared" si="5"/>
        <v>16.83872977</v>
      </c>
      <c r="L153" s="58">
        <f t="shared" si="6"/>
        <v>0</v>
      </c>
      <c r="M153" s="58">
        <f t="shared" si="7"/>
        <v>31.99132311</v>
      </c>
      <c r="N153" s="58">
        <f t="shared" si="8"/>
        <v>68.00867689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22.67"/>
    <col customWidth="1" min="3" max="3" width="20.11"/>
  </cols>
  <sheetData>
    <row r="3">
      <c r="D3" s="40" t="s">
        <v>680</v>
      </c>
    </row>
    <row r="4">
      <c r="A4" s="59" t="s">
        <v>681</v>
      </c>
      <c r="B4" s="60" t="s">
        <v>682</v>
      </c>
    </row>
    <row r="5">
      <c r="A5" s="59" t="s">
        <v>681</v>
      </c>
      <c r="B5" s="60" t="s">
        <v>683</v>
      </c>
      <c r="C5" s="40" t="s">
        <v>684</v>
      </c>
    </row>
    <row r="6">
      <c r="A6" s="59" t="s">
        <v>685</v>
      </c>
      <c r="B6" s="16" t="s">
        <v>686</v>
      </c>
    </row>
    <row r="7">
      <c r="A7" s="61"/>
      <c r="B7" s="62"/>
    </row>
    <row r="8">
      <c r="A8" s="61"/>
      <c r="B8" s="62"/>
    </row>
    <row r="9">
      <c r="A9" s="61"/>
      <c r="B9" s="62"/>
    </row>
    <row r="10">
      <c r="A10" s="59" t="s">
        <v>687</v>
      </c>
      <c r="B10" s="60" t="s">
        <v>688</v>
      </c>
    </row>
    <row r="11">
      <c r="A11" s="59" t="s">
        <v>687</v>
      </c>
      <c r="B11" s="60" t="s">
        <v>689</v>
      </c>
      <c r="C11" s="40" t="s">
        <v>690</v>
      </c>
    </row>
    <row r="12">
      <c r="A12" s="59" t="s">
        <v>691</v>
      </c>
      <c r="B12" s="16" t="s">
        <v>692</v>
      </c>
      <c r="C12" s="40" t="s">
        <v>693</v>
      </c>
    </row>
    <row r="13">
      <c r="A13" s="61"/>
      <c r="B13" s="62"/>
    </row>
    <row r="14">
      <c r="A14" s="61"/>
      <c r="B14" s="62"/>
    </row>
    <row r="15">
      <c r="A15" s="59" t="s">
        <v>694</v>
      </c>
      <c r="B15" s="31" t="s">
        <v>695</v>
      </c>
    </row>
    <row r="16">
      <c r="A16" s="59" t="s">
        <v>694</v>
      </c>
      <c r="B16" s="31" t="s">
        <v>696</v>
      </c>
      <c r="C16" s="40" t="s">
        <v>697</v>
      </c>
    </row>
    <row r="17">
      <c r="A17" s="59" t="s">
        <v>698</v>
      </c>
      <c r="B17" s="63" t="s">
        <v>699</v>
      </c>
      <c r="C17" s="40" t="s">
        <v>700</v>
      </c>
    </row>
    <row r="21">
      <c r="B21" s="40"/>
    </row>
    <row r="22">
      <c r="B22" s="4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62.11"/>
    <col customWidth="1" min="2" max="2" width="62.0"/>
    <col customWidth="1" min="3" max="3" width="62.11"/>
    <col customWidth="1" min="5" max="5" width="64.89"/>
  </cols>
  <sheetData>
    <row r="1">
      <c r="A1" s="64" t="s">
        <v>701</v>
      </c>
      <c r="B1" s="40" t="s">
        <v>702</v>
      </c>
      <c r="C1" s="40" t="s">
        <v>703</v>
      </c>
    </row>
    <row r="2">
      <c r="A2" s="64" t="s">
        <v>455</v>
      </c>
      <c r="C2" s="65" t="s">
        <v>704</v>
      </c>
      <c r="D2" s="66" t="s">
        <v>705</v>
      </c>
      <c r="E2" s="37" t="s">
        <v>706</v>
      </c>
    </row>
    <row r="3">
      <c r="A3" s="65" t="s">
        <v>455</v>
      </c>
      <c r="B3" s="65" t="s">
        <v>707</v>
      </c>
      <c r="D3" s="65" t="s">
        <v>708</v>
      </c>
      <c r="E3" s="9" t="s">
        <v>709</v>
      </c>
    </row>
    <row r="5">
      <c r="A5" s="9"/>
      <c r="C5" s="9"/>
    </row>
    <row r="6">
      <c r="A6" s="9"/>
      <c r="B6" s="9"/>
    </row>
    <row r="9">
      <c r="A9" s="9"/>
    </row>
    <row r="10">
      <c r="A10" s="9"/>
    </row>
    <row r="14">
      <c r="A14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3.67"/>
  </cols>
  <sheetData>
    <row r="1">
      <c r="A1" s="33" t="s">
        <v>439</v>
      </c>
      <c r="B1" s="67" t="s">
        <v>710</v>
      </c>
      <c r="C1" s="40" t="s">
        <v>440</v>
      </c>
    </row>
    <row r="2">
      <c r="A2" s="41" t="s">
        <v>433</v>
      </c>
      <c r="B2" s="67" t="s">
        <v>711</v>
      </c>
      <c r="C2" s="46" t="s">
        <v>434</v>
      </c>
    </row>
    <row r="3">
      <c r="A3" s="41" t="s">
        <v>437</v>
      </c>
      <c r="B3" s="67" t="s">
        <v>712</v>
      </c>
      <c r="C3" s="42" t="s">
        <v>438</v>
      </c>
    </row>
    <row r="4">
      <c r="A4" s="41" t="s">
        <v>493</v>
      </c>
      <c r="B4" s="67" t="s">
        <v>713</v>
      </c>
      <c r="C4" s="46" t="s">
        <v>494</v>
      </c>
    </row>
    <row r="5">
      <c r="A5" s="41" t="s">
        <v>453</v>
      </c>
      <c r="B5" s="67" t="s">
        <v>714</v>
      </c>
      <c r="C5" s="46" t="s">
        <v>454</v>
      </c>
    </row>
    <row r="6">
      <c r="A6" s="41" t="s">
        <v>377</v>
      </c>
      <c r="B6" s="67" t="s">
        <v>715</v>
      </c>
      <c r="C6" s="46" t="s">
        <v>378</v>
      </c>
    </row>
    <row r="7">
      <c r="A7" s="41" t="s">
        <v>451</v>
      </c>
      <c r="B7" s="67" t="s">
        <v>716</v>
      </c>
      <c r="C7" s="46" t="s">
        <v>452</v>
      </c>
    </row>
    <row r="8">
      <c r="A8" s="41" t="s">
        <v>465</v>
      </c>
      <c r="B8" s="67" t="s">
        <v>717</v>
      </c>
      <c r="C8" s="9" t="s">
        <v>466</v>
      </c>
    </row>
    <row r="9">
      <c r="A9" s="41" t="s">
        <v>491</v>
      </c>
      <c r="B9" s="67" t="s">
        <v>718</v>
      </c>
      <c r="C9" s="9" t="s">
        <v>492</v>
      </c>
    </row>
    <row r="10">
      <c r="A10" s="41" t="s">
        <v>435</v>
      </c>
      <c r="B10" s="67" t="s">
        <v>719</v>
      </c>
      <c r="C10" s="46" t="s">
        <v>436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4" width="28.67"/>
    <col customWidth="1" min="5" max="5" width="22.0"/>
    <col customWidth="1" min="6" max="7" width="25.33"/>
    <col customWidth="1" min="8" max="8" width="52.0"/>
    <col customWidth="1" min="9" max="9" width="24.44"/>
    <col customWidth="1" min="10" max="10" width="46.67"/>
    <col customWidth="1" min="11" max="11" width="14.11"/>
    <col customWidth="1" min="12" max="12" width="49.44"/>
    <col customWidth="1" min="13" max="13" width="15.67"/>
    <col customWidth="1" min="14" max="14" width="15.33"/>
    <col customWidth="1" min="15" max="15" width="17.78"/>
    <col customWidth="1" min="16" max="16" width="14.33"/>
    <col customWidth="1" min="17" max="17" width="17.0"/>
    <col customWidth="1" min="18" max="18" width="18.33"/>
    <col customWidth="1" min="19" max="19" width="51.11"/>
    <col customWidth="1" min="20" max="28" width="10.56"/>
  </cols>
  <sheetData>
    <row r="1" ht="15.75" customHeight="1">
      <c r="A1" s="68" t="s">
        <v>720</v>
      </c>
      <c r="B1" s="68" t="s">
        <v>721</v>
      </c>
      <c r="C1" s="8" t="s">
        <v>722</v>
      </c>
      <c r="D1" s="68" t="s">
        <v>1</v>
      </c>
      <c r="E1" s="68" t="s">
        <v>723</v>
      </c>
      <c r="F1" s="8" t="s">
        <v>724</v>
      </c>
      <c r="G1" s="68" t="s">
        <v>725</v>
      </c>
      <c r="H1" s="68" t="s">
        <v>726</v>
      </c>
      <c r="I1" s="68" t="s">
        <v>727</v>
      </c>
      <c r="J1" s="68" t="s">
        <v>728</v>
      </c>
      <c r="K1" s="68" t="s">
        <v>729</v>
      </c>
      <c r="L1" s="68" t="s">
        <v>730</v>
      </c>
      <c r="M1" s="68" t="s">
        <v>731</v>
      </c>
      <c r="N1" s="68" t="s">
        <v>732</v>
      </c>
      <c r="O1" s="8" t="s">
        <v>733</v>
      </c>
      <c r="P1" s="68" t="s">
        <v>734</v>
      </c>
      <c r="Q1" s="68" t="s">
        <v>735</v>
      </c>
      <c r="R1" s="68" t="s">
        <v>736</v>
      </c>
      <c r="S1" s="68" t="s">
        <v>737</v>
      </c>
      <c r="T1" s="68" t="s">
        <v>738</v>
      </c>
      <c r="U1" s="68" t="s">
        <v>739</v>
      </c>
      <c r="V1" s="68" t="s">
        <v>740</v>
      </c>
      <c r="W1" s="68"/>
      <c r="X1" s="68"/>
      <c r="Y1" s="68"/>
      <c r="Z1" s="68"/>
      <c r="AA1" s="68"/>
      <c r="AB1" s="68"/>
    </row>
    <row r="2" ht="15.75" customHeight="1">
      <c r="A2" s="40">
        <v>1.0</v>
      </c>
      <c r="D2" s="31" t="s">
        <v>254</v>
      </c>
      <c r="E2" s="32">
        <v>47.1457466</v>
      </c>
      <c r="F2" s="21" t="s">
        <v>741</v>
      </c>
      <c r="G2" s="31" t="s">
        <v>257</v>
      </c>
      <c r="H2" s="31" t="s">
        <v>46</v>
      </c>
      <c r="I2" s="31" t="s">
        <v>33</v>
      </c>
      <c r="J2" s="31" t="s">
        <v>47</v>
      </c>
      <c r="K2" s="31" t="s">
        <v>48</v>
      </c>
      <c r="L2" s="31" t="s">
        <v>49</v>
      </c>
      <c r="M2" s="31" t="s">
        <v>258</v>
      </c>
      <c r="O2" s="32">
        <v>12125.49</v>
      </c>
      <c r="P2" s="32">
        <v>1.0</v>
      </c>
      <c r="Q2" s="32">
        <v>1.25721991E8</v>
      </c>
      <c r="R2" s="32">
        <v>3.77165973E10</v>
      </c>
      <c r="S2" s="31" t="s">
        <v>259</v>
      </c>
      <c r="T2" s="31" t="s">
        <v>39</v>
      </c>
      <c r="U2" s="31" t="s">
        <v>40</v>
      </c>
      <c r="V2" s="31" t="s">
        <v>52</v>
      </c>
      <c r="Y2" s="32"/>
    </row>
    <row r="3" ht="15.75" customHeight="1">
      <c r="A3" s="40">
        <v>1.0</v>
      </c>
      <c r="D3" s="31" t="s">
        <v>261</v>
      </c>
      <c r="E3" s="32">
        <v>40.5427631</v>
      </c>
      <c r="F3" s="21" t="s">
        <v>742</v>
      </c>
      <c r="G3" s="31" t="s">
        <v>263</v>
      </c>
      <c r="H3" s="31" t="s">
        <v>46</v>
      </c>
      <c r="I3" s="31" t="s">
        <v>33</v>
      </c>
      <c r="J3" s="31" t="s">
        <v>47</v>
      </c>
      <c r="K3" s="31" t="s">
        <v>48</v>
      </c>
      <c r="L3" s="31" t="s">
        <v>49</v>
      </c>
      <c r="M3" s="31" t="s">
        <v>264</v>
      </c>
      <c r="O3" s="32">
        <v>10168.32</v>
      </c>
      <c r="P3" s="32">
        <v>1.0</v>
      </c>
      <c r="Q3" s="32">
        <v>1.08114035E8</v>
      </c>
      <c r="R3" s="32">
        <v>3.24342105E10</v>
      </c>
      <c r="S3" s="31" t="s">
        <v>265</v>
      </c>
      <c r="T3" s="31" t="s">
        <v>39</v>
      </c>
      <c r="U3" s="31" t="s">
        <v>40</v>
      </c>
      <c r="V3" s="31" t="s">
        <v>52</v>
      </c>
      <c r="Y3" s="32"/>
    </row>
    <row r="4" ht="15.75" customHeight="1">
      <c r="A4" s="40">
        <v>1.0</v>
      </c>
      <c r="D4" s="31" t="s">
        <v>267</v>
      </c>
      <c r="E4" s="32">
        <v>39.0614786</v>
      </c>
      <c r="F4" s="21" t="s">
        <v>743</v>
      </c>
      <c r="G4" s="31" t="s">
        <v>269</v>
      </c>
      <c r="H4" s="31" t="s">
        <v>46</v>
      </c>
      <c r="I4" s="31" t="s">
        <v>33</v>
      </c>
      <c r="J4" s="31" t="s">
        <v>47</v>
      </c>
      <c r="K4" s="31" t="s">
        <v>48</v>
      </c>
      <c r="L4" s="31" t="s">
        <v>49</v>
      </c>
      <c r="M4" s="31" t="s">
        <v>270</v>
      </c>
      <c r="O4" s="32">
        <v>9641.56</v>
      </c>
      <c r="P4" s="32">
        <v>1.0</v>
      </c>
      <c r="Q4" s="32">
        <v>1.04163943E8</v>
      </c>
      <c r="R4" s="32">
        <v>3.12491829E10</v>
      </c>
      <c r="S4" s="31" t="s">
        <v>271</v>
      </c>
      <c r="T4" s="31" t="s">
        <v>39</v>
      </c>
      <c r="U4" s="31" t="s">
        <v>40</v>
      </c>
      <c r="V4" s="31" t="s">
        <v>52</v>
      </c>
      <c r="Y4" s="32"/>
    </row>
    <row r="5" ht="15.75" customHeight="1">
      <c r="A5" s="40">
        <v>1.0</v>
      </c>
      <c r="D5" s="31" t="s">
        <v>273</v>
      </c>
      <c r="E5" s="32">
        <v>36.1080773</v>
      </c>
      <c r="F5" s="21" t="s">
        <v>744</v>
      </c>
      <c r="G5" s="31" t="s">
        <v>275</v>
      </c>
      <c r="H5" s="31" t="s">
        <v>46</v>
      </c>
      <c r="I5" s="31" t="s">
        <v>33</v>
      </c>
      <c r="J5" s="31" t="s">
        <v>47</v>
      </c>
      <c r="K5" s="31" t="s">
        <v>48</v>
      </c>
      <c r="L5" s="31" t="s">
        <v>49</v>
      </c>
      <c r="M5" s="31" t="s">
        <v>276</v>
      </c>
      <c r="O5" s="32">
        <v>9296.36</v>
      </c>
      <c r="P5" s="32">
        <v>1.0</v>
      </c>
      <c r="Q5" s="32">
        <v>9.6288206E7</v>
      </c>
      <c r="R5" s="32">
        <v>2.88864618E10</v>
      </c>
      <c r="S5" s="31" t="s">
        <v>277</v>
      </c>
      <c r="T5" s="31" t="s">
        <v>39</v>
      </c>
      <c r="U5" s="31" t="s">
        <v>40</v>
      </c>
      <c r="V5" s="31" t="s">
        <v>52</v>
      </c>
      <c r="Y5" s="32"/>
    </row>
    <row r="6" ht="15.75" customHeight="1">
      <c r="A6" s="40">
        <v>1.0</v>
      </c>
      <c r="D6" s="18" t="s">
        <v>28</v>
      </c>
      <c r="E6" s="18">
        <f t="shared" ref="E6:E49" si="1">R6/800000000</f>
        <v>40.29535425</v>
      </c>
      <c r="F6" s="21" t="s">
        <v>745</v>
      </c>
      <c r="G6" s="18" t="s">
        <v>31</v>
      </c>
      <c r="H6" s="18" t="s">
        <v>32</v>
      </c>
      <c r="I6" s="18" t="s">
        <v>33</v>
      </c>
      <c r="J6" s="18" t="s">
        <v>34</v>
      </c>
      <c r="K6" s="18" t="s">
        <v>35</v>
      </c>
      <c r="L6" s="18" t="s">
        <v>36</v>
      </c>
      <c r="M6" s="18" t="s">
        <v>37</v>
      </c>
      <c r="O6" s="18">
        <v>12477.97</v>
      </c>
      <c r="P6" s="18">
        <v>1.0</v>
      </c>
      <c r="Q6" s="18">
        <v>1.07454278E8</v>
      </c>
      <c r="R6" s="18">
        <v>3.22362834E10</v>
      </c>
      <c r="S6" s="18" t="s">
        <v>38</v>
      </c>
      <c r="T6" s="18" t="s">
        <v>39</v>
      </c>
      <c r="U6" s="18" t="s">
        <v>40</v>
      </c>
      <c r="V6" s="18" t="s">
        <v>41</v>
      </c>
    </row>
    <row r="7" ht="15.75" customHeight="1">
      <c r="A7" s="18">
        <v>1.0</v>
      </c>
      <c r="D7" s="18" t="s">
        <v>279</v>
      </c>
      <c r="E7" s="18">
        <f t="shared" si="1"/>
        <v>47.71787588</v>
      </c>
      <c r="F7" s="23" t="s">
        <v>746</v>
      </c>
      <c r="G7" s="18" t="s">
        <v>283</v>
      </c>
      <c r="H7" s="18" t="s">
        <v>46</v>
      </c>
      <c r="I7" s="18" t="s">
        <v>33</v>
      </c>
      <c r="J7" s="18" t="s">
        <v>47</v>
      </c>
      <c r="K7" s="18" t="s">
        <v>48</v>
      </c>
      <c r="L7" s="18" t="s">
        <v>49</v>
      </c>
      <c r="M7" s="18" t="s">
        <v>284</v>
      </c>
      <c r="O7" s="18">
        <v>12438.71</v>
      </c>
      <c r="P7" s="18">
        <v>1.0</v>
      </c>
      <c r="Q7" s="18">
        <v>1.27247669E8</v>
      </c>
      <c r="R7" s="18">
        <v>3.81743007E10</v>
      </c>
      <c r="S7" s="18" t="s">
        <v>285</v>
      </c>
      <c r="T7" s="18" t="s">
        <v>39</v>
      </c>
      <c r="U7" s="18" t="s">
        <v>40</v>
      </c>
      <c r="V7" s="18" t="s">
        <v>52</v>
      </c>
    </row>
    <row r="8" ht="15.75" customHeight="1">
      <c r="A8" s="40">
        <v>1.0</v>
      </c>
      <c r="D8" s="18" t="s">
        <v>367</v>
      </c>
      <c r="E8" s="18">
        <f t="shared" si="1"/>
        <v>48.02221313</v>
      </c>
      <c r="F8" s="20" t="s">
        <v>747</v>
      </c>
      <c r="G8" s="18" t="s">
        <v>369</v>
      </c>
      <c r="H8" s="18" t="s">
        <v>367</v>
      </c>
      <c r="I8" s="18" t="s">
        <v>370</v>
      </c>
      <c r="J8" s="18" t="s">
        <v>371</v>
      </c>
      <c r="K8" s="18" t="s">
        <v>372</v>
      </c>
      <c r="L8" s="18" t="s">
        <v>373</v>
      </c>
      <c r="M8" s="18" t="s">
        <v>374</v>
      </c>
      <c r="O8" s="18">
        <v>22929.31</v>
      </c>
      <c r="P8" s="18">
        <v>1.0</v>
      </c>
      <c r="Q8" s="18">
        <v>1.28059235E8</v>
      </c>
      <c r="R8" s="18">
        <v>3.84177705E10</v>
      </c>
      <c r="S8" s="18" t="s">
        <v>375</v>
      </c>
      <c r="T8" s="18" t="s">
        <v>39</v>
      </c>
      <c r="U8" s="18" t="s">
        <v>40</v>
      </c>
      <c r="V8" s="18" t="s">
        <v>376</v>
      </c>
    </row>
    <row r="9" ht="15.75" customHeight="1">
      <c r="A9" s="40">
        <v>1.0</v>
      </c>
      <c r="D9" s="18" t="s">
        <v>159</v>
      </c>
      <c r="E9" s="18">
        <f t="shared" si="1"/>
        <v>37.16874225</v>
      </c>
      <c r="F9" s="23" t="s">
        <v>748</v>
      </c>
      <c r="G9" s="18" t="s">
        <v>162</v>
      </c>
      <c r="H9" s="18" t="s">
        <v>46</v>
      </c>
      <c r="I9" s="18" t="s">
        <v>33</v>
      </c>
      <c r="J9" s="18" t="s">
        <v>47</v>
      </c>
      <c r="K9" s="18" t="s">
        <v>48</v>
      </c>
      <c r="L9" s="18" t="s">
        <v>49</v>
      </c>
      <c r="M9" s="18" t="s">
        <v>163</v>
      </c>
      <c r="O9" s="18">
        <v>9070.03</v>
      </c>
      <c r="P9" s="18">
        <v>1.0</v>
      </c>
      <c r="Q9" s="18">
        <v>9.9116646E7</v>
      </c>
      <c r="R9" s="18">
        <v>2.97349938E10</v>
      </c>
      <c r="S9" s="18" t="s">
        <v>164</v>
      </c>
      <c r="T9" s="18" t="s">
        <v>39</v>
      </c>
      <c r="U9" s="18" t="s">
        <v>40</v>
      </c>
      <c r="V9" s="18" t="s">
        <v>52</v>
      </c>
    </row>
    <row r="10" ht="15.75" customHeight="1">
      <c r="A10" s="18">
        <v>1.0</v>
      </c>
      <c r="D10" s="18" t="s">
        <v>381</v>
      </c>
      <c r="E10" s="18">
        <f t="shared" si="1"/>
        <v>41.79233475</v>
      </c>
      <c r="F10" s="21" t="s">
        <v>749</v>
      </c>
      <c r="G10" s="18" t="s">
        <v>383</v>
      </c>
      <c r="H10" s="18" t="s">
        <v>46</v>
      </c>
      <c r="I10" s="18" t="s">
        <v>33</v>
      </c>
      <c r="J10" s="18" t="s">
        <v>47</v>
      </c>
      <c r="K10" s="18" t="s">
        <v>48</v>
      </c>
      <c r="L10" s="18" t="s">
        <v>49</v>
      </c>
      <c r="M10" s="18" t="s">
        <v>384</v>
      </c>
      <c r="O10" s="18">
        <v>10880.31</v>
      </c>
      <c r="P10" s="18">
        <v>1.0</v>
      </c>
      <c r="Q10" s="18">
        <v>1.11446226E8</v>
      </c>
      <c r="R10" s="18">
        <v>3.34338678E10</v>
      </c>
      <c r="S10" s="18" t="s">
        <v>385</v>
      </c>
      <c r="T10" s="18" t="s">
        <v>39</v>
      </c>
      <c r="U10" s="18" t="s">
        <v>40</v>
      </c>
      <c r="V10" s="18" t="s">
        <v>52</v>
      </c>
    </row>
    <row r="11" ht="15.75" customHeight="1">
      <c r="A11" s="18">
        <v>1.0</v>
      </c>
      <c r="D11" s="18" t="s">
        <v>43</v>
      </c>
      <c r="E11" s="18">
        <f t="shared" si="1"/>
        <v>45.08055263</v>
      </c>
      <c r="F11" s="21" t="s">
        <v>750</v>
      </c>
      <c r="G11" s="18" t="s">
        <v>45</v>
      </c>
      <c r="H11" s="18" t="s">
        <v>46</v>
      </c>
      <c r="I11" s="18" t="s">
        <v>33</v>
      </c>
      <c r="J11" s="18" t="s">
        <v>47</v>
      </c>
      <c r="K11" s="18" t="s">
        <v>48</v>
      </c>
      <c r="L11" s="18" t="s">
        <v>49</v>
      </c>
      <c r="M11" s="18" t="s">
        <v>50</v>
      </c>
      <c r="O11" s="18">
        <v>11225.38</v>
      </c>
      <c r="P11" s="18">
        <v>1.0</v>
      </c>
      <c r="Q11" s="18">
        <v>1.20214807E8</v>
      </c>
      <c r="R11" s="18">
        <v>3.60644421E10</v>
      </c>
      <c r="S11" s="18" t="s">
        <v>51</v>
      </c>
      <c r="T11" s="18" t="s">
        <v>39</v>
      </c>
      <c r="U11" s="18" t="s">
        <v>40</v>
      </c>
      <c r="V11" s="18" t="s">
        <v>52</v>
      </c>
    </row>
    <row r="12" ht="15.75" customHeight="1">
      <c r="A12" s="40">
        <v>1.0</v>
      </c>
      <c r="D12" s="18" t="s">
        <v>54</v>
      </c>
      <c r="E12" s="18">
        <f t="shared" si="1"/>
        <v>40.64344463</v>
      </c>
      <c r="F12" s="23" t="s">
        <v>751</v>
      </c>
      <c r="G12" s="18" t="s">
        <v>56</v>
      </c>
      <c r="H12" s="18" t="s">
        <v>46</v>
      </c>
      <c r="I12" s="18" t="s">
        <v>33</v>
      </c>
      <c r="J12" s="18" t="s">
        <v>47</v>
      </c>
      <c r="K12" s="18" t="s">
        <v>48</v>
      </c>
      <c r="L12" s="18" t="s">
        <v>49</v>
      </c>
      <c r="M12" s="18" t="s">
        <v>57</v>
      </c>
      <c r="O12" s="18">
        <v>10508.69</v>
      </c>
      <c r="P12" s="18">
        <v>1.0</v>
      </c>
      <c r="Q12" s="18">
        <v>1.08382519E8</v>
      </c>
      <c r="R12" s="18">
        <v>3.25147557E10</v>
      </c>
      <c r="S12" s="18" t="s">
        <v>58</v>
      </c>
      <c r="T12" s="18" t="s">
        <v>39</v>
      </c>
      <c r="U12" s="18" t="s">
        <v>40</v>
      </c>
      <c r="V12" s="18" t="s">
        <v>52</v>
      </c>
    </row>
    <row r="13" ht="15.75" customHeight="1">
      <c r="A13" s="18">
        <v>1.0</v>
      </c>
      <c r="D13" s="18" t="s">
        <v>83</v>
      </c>
      <c r="E13" s="18">
        <f t="shared" si="1"/>
        <v>40.48294575</v>
      </c>
      <c r="F13" s="21" t="s">
        <v>752</v>
      </c>
      <c r="G13" s="18" t="s">
        <v>86</v>
      </c>
      <c r="H13" s="18" t="s">
        <v>46</v>
      </c>
      <c r="I13" s="18" t="s">
        <v>33</v>
      </c>
      <c r="J13" s="18" t="s">
        <v>47</v>
      </c>
      <c r="K13" s="18" t="s">
        <v>48</v>
      </c>
      <c r="L13" s="18" t="s">
        <v>49</v>
      </c>
      <c r="M13" s="18" t="s">
        <v>87</v>
      </c>
      <c r="O13" s="18">
        <v>10242.23</v>
      </c>
      <c r="P13" s="18">
        <v>1.0</v>
      </c>
      <c r="Q13" s="18">
        <v>1.07954522E8</v>
      </c>
      <c r="R13" s="18">
        <v>3.23863566E10</v>
      </c>
      <c r="S13" s="18" t="s">
        <v>88</v>
      </c>
      <c r="T13" s="18" t="s">
        <v>39</v>
      </c>
      <c r="U13" s="18" t="s">
        <v>40</v>
      </c>
      <c r="V13" s="18" t="s">
        <v>52</v>
      </c>
    </row>
    <row r="14" ht="15.75" customHeight="1">
      <c r="A14" s="40">
        <v>1.0</v>
      </c>
      <c r="D14" s="18" t="s">
        <v>60</v>
      </c>
      <c r="E14" s="18">
        <f t="shared" si="1"/>
        <v>43.078941</v>
      </c>
      <c r="F14" s="21" t="s">
        <v>753</v>
      </c>
      <c r="G14" s="18" t="s">
        <v>62</v>
      </c>
      <c r="H14" s="18" t="s">
        <v>32</v>
      </c>
      <c r="I14" s="18" t="s">
        <v>33</v>
      </c>
      <c r="J14" s="18" t="s">
        <v>34</v>
      </c>
      <c r="K14" s="18" t="s">
        <v>35</v>
      </c>
      <c r="L14" s="18" t="s">
        <v>36</v>
      </c>
      <c r="M14" s="18" t="s">
        <v>63</v>
      </c>
      <c r="O14" s="18">
        <v>10942.0</v>
      </c>
      <c r="P14" s="18">
        <v>1.0</v>
      </c>
      <c r="Q14" s="18">
        <v>1.14877176E8</v>
      </c>
      <c r="R14" s="18">
        <v>3.44631528E10</v>
      </c>
      <c r="S14" s="18" t="s">
        <v>64</v>
      </c>
      <c r="T14" s="18" t="s">
        <v>39</v>
      </c>
      <c r="U14" s="18" t="s">
        <v>40</v>
      </c>
      <c r="V14" s="18" t="s">
        <v>41</v>
      </c>
    </row>
    <row r="15" ht="15.75" customHeight="1">
      <c r="A15" s="18">
        <v>1.0</v>
      </c>
      <c r="D15" s="18" t="s">
        <v>344</v>
      </c>
      <c r="E15" s="18">
        <f t="shared" si="1"/>
        <v>43.98524513</v>
      </c>
      <c r="F15" s="21" t="s">
        <v>754</v>
      </c>
      <c r="G15" s="18" t="s">
        <v>347</v>
      </c>
      <c r="H15" s="18" t="s">
        <v>46</v>
      </c>
      <c r="I15" s="18" t="s">
        <v>33</v>
      </c>
      <c r="J15" s="18" t="s">
        <v>47</v>
      </c>
      <c r="K15" s="18" t="s">
        <v>48</v>
      </c>
      <c r="L15" s="18" t="s">
        <v>49</v>
      </c>
      <c r="M15" s="18" t="s">
        <v>348</v>
      </c>
      <c r="O15" s="18">
        <v>11503.02</v>
      </c>
      <c r="P15" s="18">
        <v>1.0</v>
      </c>
      <c r="Q15" s="18">
        <v>1.17293987E8</v>
      </c>
      <c r="R15" s="18">
        <v>3.51881961E10</v>
      </c>
      <c r="S15" s="18" t="s">
        <v>349</v>
      </c>
      <c r="T15" s="18" t="s">
        <v>39</v>
      </c>
      <c r="U15" s="18" t="s">
        <v>40</v>
      </c>
      <c r="V15" s="18" t="s">
        <v>52</v>
      </c>
    </row>
    <row r="16" ht="15.75" customHeight="1">
      <c r="A16" s="18">
        <v>1.0</v>
      </c>
      <c r="D16" s="18" t="s">
        <v>90</v>
      </c>
      <c r="E16" s="18">
        <f t="shared" si="1"/>
        <v>35.9533755</v>
      </c>
      <c r="F16" s="21" t="s">
        <v>755</v>
      </c>
      <c r="G16" s="18" t="s">
        <v>92</v>
      </c>
      <c r="H16" s="18" t="s">
        <v>46</v>
      </c>
      <c r="I16" s="18" t="s">
        <v>33</v>
      </c>
      <c r="J16" s="18" t="s">
        <v>47</v>
      </c>
      <c r="K16" s="18" t="s">
        <v>48</v>
      </c>
      <c r="L16" s="18" t="s">
        <v>49</v>
      </c>
      <c r="M16" s="18" t="s">
        <v>93</v>
      </c>
      <c r="O16" s="18">
        <v>9086.73</v>
      </c>
      <c r="P16" s="18">
        <v>1.0</v>
      </c>
      <c r="Q16" s="18">
        <v>9.5875668E7</v>
      </c>
      <c r="R16" s="18">
        <v>2.87627004E10</v>
      </c>
      <c r="S16" s="18" t="s">
        <v>94</v>
      </c>
      <c r="T16" s="18" t="s">
        <v>39</v>
      </c>
      <c r="U16" s="18" t="s">
        <v>40</v>
      </c>
      <c r="V16" s="18" t="s">
        <v>52</v>
      </c>
    </row>
    <row r="17" ht="15.75" customHeight="1">
      <c r="A17" s="40">
        <v>1.0</v>
      </c>
      <c r="D17" s="18" t="s">
        <v>387</v>
      </c>
      <c r="E17" s="18">
        <f t="shared" si="1"/>
        <v>47.03998875</v>
      </c>
      <c r="F17" s="21" t="s">
        <v>756</v>
      </c>
      <c r="G17" s="18" t="s">
        <v>389</v>
      </c>
      <c r="H17" s="18" t="s">
        <v>46</v>
      </c>
      <c r="I17" s="18" t="s">
        <v>33</v>
      </c>
      <c r="J17" s="18" t="s">
        <v>47</v>
      </c>
      <c r="K17" s="18" t="s">
        <v>390</v>
      </c>
      <c r="L17" s="18" t="s">
        <v>391</v>
      </c>
      <c r="M17" s="18" t="s">
        <v>392</v>
      </c>
      <c r="O17" s="18">
        <v>11769.91</v>
      </c>
      <c r="P17" s="18">
        <v>1.0</v>
      </c>
      <c r="Q17" s="18">
        <v>1.2543997E8</v>
      </c>
      <c r="R17" s="18">
        <v>3.7631991E10</v>
      </c>
      <c r="S17" s="18" t="s">
        <v>393</v>
      </c>
      <c r="T17" s="18" t="s">
        <v>39</v>
      </c>
      <c r="U17" s="18" t="s">
        <v>40</v>
      </c>
      <c r="V17" s="18" t="s">
        <v>52</v>
      </c>
    </row>
    <row r="18" ht="15.75" customHeight="1">
      <c r="A18" s="18">
        <v>1.0</v>
      </c>
      <c r="D18" s="18" t="s">
        <v>166</v>
      </c>
      <c r="E18" s="18">
        <f t="shared" si="1"/>
        <v>49.226238</v>
      </c>
      <c r="F18" s="21" t="s">
        <v>757</v>
      </c>
      <c r="G18" s="18" t="s">
        <v>168</v>
      </c>
      <c r="H18" s="18" t="s">
        <v>46</v>
      </c>
      <c r="I18" s="18" t="s">
        <v>33</v>
      </c>
      <c r="J18" s="18" t="s">
        <v>47</v>
      </c>
      <c r="K18" s="18" t="s">
        <v>48</v>
      </c>
      <c r="L18" s="18" t="s">
        <v>49</v>
      </c>
      <c r="M18" s="18" t="s">
        <v>169</v>
      </c>
      <c r="O18" s="18">
        <v>12566.61</v>
      </c>
      <c r="P18" s="18">
        <v>1.0</v>
      </c>
      <c r="Q18" s="18">
        <v>1.31269968E8</v>
      </c>
      <c r="R18" s="18">
        <v>3.93809904E10</v>
      </c>
      <c r="S18" s="18" t="s">
        <v>170</v>
      </c>
      <c r="T18" s="18" t="s">
        <v>39</v>
      </c>
      <c r="U18" s="18" t="s">
        <v>40</v>
      </c>
      <c r="V18" s="18" t="s">
        <v>52</v>
      </c>
    </row>
    <row r="19" ht="15.75" customHeight="1">
      <c r="A19" s="18">
        <v>1.0</v>
      </c>
      <c r="D19" s="18" t="s">
        <v>395</v>
      </c>
      <c r="E19" s="18">
        <f t="shared" si="1"/>
        <v>147.6372164</v>
      </c>
      <c r="F19" s="21" t="s">
        <v>758</v>
      </c>
      <c r="G19" s="18" t="s">
        <v>397</v>
      </c>
      <c r="H19" s="18" t="s">
        <v>398</v>
      </c>
      <c r="I19" s="18" t="s">
        <v>33</v>
      </c>
      <c r="J19" s="18" t="s">
        <v>399</v>
      </c>
      <c r="K19" s="18" t="s">
        <v>400</v>
      </c>
      <c r="L19" s="18" t="s">
        <v>401</v>
      </c>
      <c r="M19" s="18" t="s">
        <v>402</v>
      </c>
      <c r="O19" s="18">
        <v>37473.94</v>
      </c>
      <c r="P19" s="18">
        <v>1.0</v>
      </c>
      <c r="Q19" s="18">
        <v>3.91091964E8</v>
      </c>
      <c r="R19" s="18">
        <v>1.18109773128E11</v>
      </c>
      <c r="S19" s="18" t="s">
        <v>403</v>
      </c>
      <c r="T19" s="18" t="s">
        <v>39</v>
      </c>
      <c r="U19" s="18" t="s">
        <v>40</v>
      </c>
      <c r="V19" s="18" t="s">
        <v>404</v>
      </c>
    </row>
    <row r="20" ht="15.75" customHeight="1">
      <c r="A20" s="18">
        <v>1.0</v>
      </c>
      <c r="D20" s="18" t="s">
        <v>96</v>
      </c>
      <c r="E20" s="18">
        <f t="shared" si="1"/>
        <v>41.38803863</v>
      </c>
      <c r="F20" s="21" t="s">
        <v>759</v>
      </c>
      <c r="G20" s="18" t="s">
        <v>98</v>
      </c>
      <c r="H20" s="18" t="s">
        <v>46</v>
      </c>
      <c r="I20" s="18" t="s">
        <v>33</v>
      </c>
      <c r="J20" s="18" t="s">
        <v>47</v>
      </c>
      <c r="K20" s="18" t="s">
        <v>48</v>
      </c>
      <c r="L20" s="18" t="s">
        <v>49</v>
      </c>
      <c r="M20" s="18" t="s">
        <v>99</v>
      </c>
      <c r="O20" s="18">
        <v>10586.26</v>
      </c>
      <c r="P20" s="18">
        <v>1.0</v>
      </c>
      <c r="Q20" s="18">
        <v>1.10368103E8</v>
      </c>
      <c r="R20" s="18">
        <v>3.31104309E10</v>
      </c>
      <c r="S20" s="18" t="s">
        <v>100</v>
      </c>
      <c r="T20" s="18" t="s">
        <v>39</v>
      </c>
      <c r="U20" s="18" t="s">
        <v>40</v>
      </c>
      <c r="V20" s="18" t="s">
        <v>52</v>
      </c>
    </row>
    <row r="21" ht="15.75" customHeight="1">
      <c r="A21" s="18">
        <v>1.0</v>
      </c>
      <c r="D21" s="18" t="s">
        <v>287</v>
      </c>
      <c r="E21" s="18">
        <f t="shared" si="1"/>
        <v>22.71960818</v>
      </c>
      <c r="F21" s="21" t="s">
        <v>760</v>
      </c>
      <c r="G21" s="18" t="s">
        <v>289</v>
      </c>
      <c r="H21" s="18" t="s">
        <v>46</v>
      </c>
      <c r="I21" s="18" t="s">
        <v>33</v>
      </c>
      <c r="J21" s="18" t="s">
        <v>47</v>
      </c>
      <c r="K21" s="18" t="s">
        <v>48</v>
      </c>
      <c r="L21" s="18" t="s">
        <v>49</v>
      </c>
      <c r="M21" s="18" t="s">
        <v>290</v>
      </c>
      <c r="O21" s="18">
        <v>5445.17</v>
      </c>
      <c r="P21" s="18">
        <v>1.0</v>
      </c>
      <c r="Q21" s="18">
        <v>1.17259933E8</v>
      </c>
      <c r="R21" s="18">
        <v>1.8175686545E10</v>
      </c>
      <c r="S21" s="18" t="s">
        <v>291</v>
      </c>
      <c r="T21" s="18" t="s">
        <v>39</v>
      </c>
      <c r="U21" s="18" t="s">
        <v>40</v>
      </c>
      <c r="V21" s="18" t="s">
        <v>52</v>
      </c>
    </row>
    <row r="22" ht="15.75" customHeight="1">
      <c r="A22" s="18">
        <v>1.0</v>
      </c>
      <c r="D22" s="18" t="s">
        <v>406</v>
      </c>
      <c r="E22" s="18">
        <f t="shared" si="1"/>
        <v>38.37429413</v>
      </c>
      <c r="F22" s="21" t="s">
        <v>761</v>
      </c>
      <c r="G22" s="18" t="s">
        <v>408</v>
      </c>
      <c r="H22" s="18" t="s">
        <v>46</v>
      </c>
      <c r="I22" s="18" t="s">
        <v>33</v>
      </c>
      <c r="J22" s="18" t="s">
        <v>47</v>
      </c>
      <c r="K22" s="18" t="s">
        <v>48</v>
      </c>
      <c r="L22" s="18" t="s">
        <v>49</v>
      </c>
      <c r="M22" s="18" t="s">
        <v>409</v>
      </c>
      <c r="O22" s="18">
        <v>9985.43</v>
      </c>
      <c r="P22" s="18">
        <v>1.0</v>
      </c>
      <c r="Q22" s="18">
        <v>1.02331451E8</v>
      </c>
      <c r="R22" s="18">
        <v>3.06994353E10</v>
      </c>
      <c r="S22" s="18" t="s">
        <v>410</v>
      </c>
      <c r="T22" s="18" t="s">
        <v>39</v>
      </c>
      <c r="U22" s="18" t="s">
        <v>40</v>
      </c>
      <c r="V22" s="18" t="s">
        <v>52</v>
      </c>
    </row>
    <row r="23" ht="15.75" customHeight="1">
      <c r="A23" s="18">
        <v>1.0</v>
      </c>
      <c r="D23" s="18" t="s">
        <v>172</v>
      </c>
      <c r="E23" s="18">
        <f t="shared" si="1"/>
        <v>46.7199075</v>
      </c>
      <c r="F23" s="21" t="s">
        <v>762</v>
      </c>
      <c r="G23" s="18" t="s">
        <v>174</v>
      </c>
      <c r="H23" s="18" t="s">
        <v>46</v>
      </c>
      <c r="I23" s="18" t="s">
        <v>33</v>
      </c>
      <c r="J23" s="18" t="s">
        <v>47</v>
      </c>
      <c r="K23" s="18" t="s">
        <v>48</v>
      </c>
      <c r="L23" s="18" t="s">
        <v>49</v>
      </c>
      <c r="M23" s="18" t="s">
        <v>175</v>
      </c>
      <c r="O23" s="18">
        <v>11864.68</v>
      </c>
      <c r="P23" s="18">
        <v>1.0</v>
      </c>
      <c r="Q23" s="18">
        <v>1.2458642E8</v>
      </c>
      <c r="R23" s="18">
        <v>3.7375926E10</v>
      </c>
      <c r="S23" s="18" t="s">
        <v>176</v>
      </c>
      <c r="T23" s="18" t="s">
        <v>39</v>
      </c>
      <c r="U23" s="18" t="s">
        <v>40</v>
      </c>
      <c r="V23" s="18" t="s">
        <v>52</v>
      </c>
    </row>
    <row r="24" ht="15.75" customHeight="1">
      <c r="A24" s="18">
        <v>1.0</v>
      </c>
      <c r="D24" s="18" t="s">
        <v>412</v>
      </c>
      <c r="E24" s="18">
        <f t="shared" si="1"/>
        <v>33.8857215</v>
      </c>
      <c r="F24" s="21" t="s">
        <v>763</v>
      </c>
      <c r="G24" s="18" t="s">
        <v>414</v>
      </c>
      <c r="H24" s="18" t="s">
        <v>46</v>
      </c>
      <c r="I24" s="18" t="s">
        <v>33</v>
      </c>
      <c r="J24" s="18" t="s">
        <v>47</v>
      </c>
      <c r="K24" s="18" t="s">
        <v>48</v>
      </c>
      <c r="L24" s="18" t="s">
        <v>49</v>
      </c>
      <c r="M24" s="18" t="s">
        <v>415</v>
      </c>
      <c r="O24" s="18">
        <v>10528.98</v>
      </c>
      <c r="P24" s="18">
        <v>1.0</v>
      </c>
      <c r="Q24" s="18">
        <v>9.0361924E7</v>
      </c>
      <c r="R24" s="18">
        <v>2.71085772E10</v>
      </c>
      <c r="S24" s="18" t="s">
        <v>416</v>
      </c>
      <c r="T24" s="18" t="s">
        <v>39</v>
      </c>
      <c r="U24" s="18" t="s">
        <v>40</v>
      </c>
      <c r="V24" s="18" t="s">
        <v>52</v>
      </c>
    </row>
    <row r="25" ht="15.75" customHeight="1">
      <c r="A25" s="18">
        <v>1.0</v>
      </c>
      <c r="D25" s="18" t="s">
        <v>102</v>
      </c>
      <c r="E25" s="18">
        <f t="shared" si="1"/>
        <v>38.07283688</v>
      </c>
      <c r="F25" s="21" t="s">
        <v>764</v>
      </c>
      <c r="G25" s="18" t="s">
        <v>104</v>
      </c>
      <c r="H25" s="18" t="s">
        <v>46</v>
      </c>
      <c r="I25" s="18" t="s">
        <v>33</v>
      </c>
      <c r="J25" s="18" t="s">
        <v>47</v>
      </c>
      <c r="K25" s="18" t="s">
        <v>48</v>
      </c>
      <c r="L25" s="18" t="s">
        <v>49</v>
      </c>
      <c r="M25" s="18" t="s">
        <v>105</v>
      </c>
      <c r="O25" s="18">
        <v>9536.08</v>
      </c>
      <c r="P25" s="18">
        <v>1.0</v>
      </c>
      <c r="Q25" s="18">
        <v>1.01527565E8</v>
      </c>
      <c r="R25" s="18">
        <v>3.04582695E10</v>
      </c>
      <c r="S25" s="18" t="s">
        <v>106</v>
      </c>
      <c r="T25" s="18" t="s">
        <v>39</v>
      </c>
      <c r="U25" s="18" t="s">
        <v>40</v>
      </c>
      <c r="V25" s="18" t="s">
        <v>52</v>
      </c>
    </row>
    <row r="26" ht="15.75" customHeight="1">
      <c r="A26" s="18">
        <v>1.0</v>
      </c>
      <c r="D26" s="18" t="s">
        <v>502</v>
      </c>
      <c r="E26" s="18">
        <f t="shared" si="1"/>
        <v>40.60394963</v>
      </c>
      <c r="F26" s="21" t="s">
        <v>765</v>
      </c>
      <c r="G26" s="18" t="s">
        <v>505</v>
      </c>
      <c r="H26" s="18" t="s">
        <v>46</v>
      </c>
      <c r="I26" s="18" t="s">
        <v>33</v>
      </c>
      <c r="J26" s="18" t="s">
        <v>47</v>
      </c>
      <c r="K26" s="18" t="s">
        <v>48</v>
      </c>
      <c r="L26" s="18" t="s">
        <v>49</v>
      </c>
      <c r="M26" s="18" t="s">
        <v>506</v>
      </c>
      <c r="O26" s="18">
        <v>10597.82</v>
      </c>
      <c r="P26" s="18">
        <v>1.0</v>
      </c>
      <c r="Q26" s="18">
        <v>1.08277199E8</v>
      </c>
      <c r="R26" s="18">
        <v>3.24831597E10</v>
      </c>
      <c r="S26" s="18" t="s">
        <v>507</v>
      </c>
      <c r="T26" s="18" t="s">
        <v>39</v>
      </c>
      <c r="U26" s="18" t="s">
        <v>40</v>
      </c>
      <c r="V26" s="18" t="s">
        <v>52</v>
      </c>
    </row>
    <row r="27" ht="15.75" customHeight="1">
      <c r="A27" s="40">
        <v>1.0</v>
      </c>
      <c r="D27" s="18" t="s">
        <v>108</v>
      </c>
      <c r="E27" s="18">
        <f t="shared" si="1"/>
        <v>38.16884625</v>
      </c>
      <c r="F27" s="21" t="s">
        <v>766</v>
      </c>
      <c r="G27" s="18" t="s">
        <v>110</v>
      </c>
      <c r="H27" s="18" t="s">
        <v>46</v>
      </c>
      <c r="I27" s="18" t="s">
        <v>33</v>
      </c>
      <c r="J27" s="18" t="s">
        <v>47</v>
      </c>
      <c r="K27" s="18" t="s">
        <v>48</v>
      </c>
      <c r="L27" s="18" t="s">
        <v>49</v>
      </c>
      <c r="M27" s="18" t="s">
        <v>111</v>
      </c>
      <c r="O27" s="18">
        <v>9361.74</v>
      </c>
      <c r="P27" s="18">
        <v>1.0</v>
      </c>
      <c r="Q27" s="18">
        <v>1.0178359E8</v>
      </c>
      <c r="R27" s="18">
        <v>3.0535077E10</v>
      </c>
      <c r="S27" s="18" t="s">
        <v>112</v>
      </c>
      <c r="T27" s="18" t="s">
        <v>39</v>
      </c>
      <c r="U27" s="18" t="s">
        <v>40</v>
      </c>
      <c r="V27" s="18" t="s">
        <v>52</v>
      </c>
    </row>
    <row r="28" ht="15.75" customHeight="1">
      <c r="A28" s="18">
        <v>1.0</v>
      </c>
      <c r="D28" s="18" t="s">
        <v>114</v>
      </c>
      <c r="E28" s="18">
        <f t="shared" si="1"/>
        <v>59.00471025</v>
      </c>
      <c r="F28" s="21" t="s">
        <v>767</v>
      </c>
      <c r="G28" s="18" t="s">
        <v>116</v>
      </c>
      <c r="H28" s="18" t="s">
        <v>117</v>
      </c>
      <c r="I28" s="18" t="s">
        <v>33</v>
      </c>
      <c r="J28" s="18" t="s">
        <v>118</v>
      </c>
      <c r="K28" s="18" t="s">
        <v>119</v>
      </c>
      <c r="L28" s="18" t="s">
        <v>120</v>
      </c>
      <c r="M28" s="18" t="s">
        <v>121</v>
      </c>
      <c r="O28" s="18">
        <v>14292.82</v>
      </c>
      <c r="P28" s="18">
        <v>1.0</v>
      </c>
      <c r="Q28" s="18">
        <v>1.57345894E8</v>
      </c>
      <c r="R28" s="18">
        <v>4.72037682E10</v>
      </c>
      <c r="S28" s="18" t="s">
        <v>122</v>
      </c>
      <c r="T28" s="18" t="s">
        <v>39</v>
      </c>
      <c r="U28" s="18" t="s">
        <v>40</v>
      </c>
      <c r="V28" s="18" t="s">
        <v>123</v>
      </c>
    </row>
    <row r="29" ht="15.75" customHeight="1">
      <c r="A29" s="40">
        <v>1.0</v>
      </c>
      <c r="D29" s="18" t="s">
        <v>418</v>
      </c>
      <c r="E29" s="18">
        <f t="shared" si="1"/>
        <v>44.47713788</v>
      </c>
      <c r="F29" s="21" t="s">
        <v>768</v>
      </c>
      <c r="G29" s="18" t="s">
        <v>420</v>
      </c>
      <c r="H29" s="18" t="s">
        <v>46</v>
      </c>
      <c r="I29" s="18" t="s">
        <v>33</v>
      </c>
      <c r="J29" s="18" t="s">
        <v>47</v>
      </c>
      <c r="K29" s="18" t="s">
        <v>390</v>
      </c>
      <c r="L29" s="18" t="s">
        <v>391</v>
      </c>
      <c r="M29" s="18" t="s">
        <v>421</v>
      </c>
      <c r="O29" s="18">
        <v>11372.5</v>
      </c>
      <c r="P29" s="18">
        <v>1.0</v>
      </c>
      <c r="Q29" s="18">
        <v>1.18605701E8</v>
      </c>
      <c r="R29" s="18">
        <v>3.55817103E10</v>
      </c>
      <c r="S29" s="18" t="s">
        <v>303</v>
      </c>
      <c r="T29" s="18" t="s">
        <v>39</v>
      </c>
      <c r="U29" s="18" t="s">
        <v>40</v>
      </c>
      <c r="V29" s="18" t="s">
        <v>52</v>
      </c>
    </row>
    <row r="30" ht="15.75" customHeight="1">
      <c r="A30" s="18">
        <v>1.0</v>
      </c>
      <c r="D30" s="18" t="s">
        <v>178</v>
      </c>
      <c r="E30" s="18">
        <f t="shared" si="1"/>
        <v>33.80089875</v>
      </c>
      <c r="F30" s="21" t="s">
        <v>769</v>
      </c>
      <c r="G30" s="18" t="s">
        <v>180</v>
      </c>
      <c r="H30" s="18" t="s">
        <v>46</v>
      </c>
      <c r="I30" s="18" t="s">
        <v>33</v>
      </c>
      <c r="J30" s="18" t="s">
        <v>47</v>
      </c>
      <c r="K30" s="18" t="s">
        <v>48</v>
      </c>
      <c r="L30" s="18" t="s">
        <v>49</v>
      </c>
      <c r="M30" s="18" t="s">
        <v>181</v>
      </c>
      <c r="O30" s="18">
        <v>8370.21</v>
      </c>
      <c r="P30" s="18">
        <v>1.0</v>
      </c>
      <c r="Q30" s="18">
        <v>9.013573E7</v>
      </c>
      <c r="R30" s="18">
        <v>2.7040719E10</v>
      </c>
      <c r="S30" s="18" t="s">
        <v>182</v>
      </c>
      <c r="T30" s="18" t="s">
        <v>39</v>
      </c>
      <c r="U30" s="18" t="s">
        <v>40</v>
      </c>
      <c r="V30" s="18" t="s">
        <v>52</v>
      </c>
    </row>
    <row r="31" ht="15.75" customHeight="1">
      <c r="A31" s="18">
        <v>1.0</v>
      </c>
      <c r="D31" s="18" t="s">
        <v>125</v>
      </c>
      <c r="E31" s="18">
        <f t="shared" si="1"/>
        <v>39.91125713</v>
      </c>
      <c r="F31" s="21" t="s">
        <v>770</v>
      </c>
      <c r="G31" s="18" t="s">
        <v>127</v>
      </c>
      <c r="H31" s="18" t="s">
        <v>46</v>
      </c>
      <c r="I31" s="18" t="s">
        <v>33</v>
      </c>
      <c r="J31" s="18" t="s">
        <v>47</v>
      </c>
      <c r="K31" s="18" t="s">
        <v>48</v>
      </c>
      <c r="L31" s="18" t="s">
        <v>49</v>
      </c>
      <c r="M31" s="18" t="s">
        <v>128</v>
      </c>
      <c r="O31" s="18">
        <v>9954.36</v>
      </c>
      <c r="P31" s="18">
        <v>1.0</v>
      </c>
      <c r="Q31" s="18">
        <v>1.06430019E8</v>
      </c>
      <c r="R31" s="18">
        <v>3.19290057E10</v>
      </c>
      <c r="S31" s="18" t="s">
        <v>129</v>
      </c>
      <c r="T31" s="18" t="s">
        <v>39</v>
      </c>
      <c r="U31" s="18" t="s">
        <v>40</v>
      </c>
      <c r="V31" s="18" t="s">
        <v>52</v>
      </c>
    </row>
    <row r="32" ht="15.75" customHeight="1">
      <c r="A32" s="40">
        <v>1.0</v>
      </c>
      <c r="D32" s="18" t="s">
        <v>184</v>
      </c>
      <c r="E32" s="18">
        <f t="shared" si="1"/>
        <v>47.36570813</v>
      </c>
      <c r="F32" s="19" t="s">
        <v>771</v>
      </c>
      <c r="G32" s="18" t="s">
        <v>186</v>
      </c>
      <c r="H32" s="18" t="s">
        <v>46</v>
      </c>
      <c r="I32" s="18" t="s">
        <v>33</v>
      </c>
      <c r="J32" s="18" t="s">
        <v>47</v>
      </c>
      <c r="K32" s="18" t="s">
        <v>48</v>
      </c>
      <c r="L32" s="18" t="s">
        <v>49</v>
      </c>
      <c r="M32" s="18" t="s">
        <v>187</v>
      </c>
      <c r="O32" s="18">
        <v>12229.34</v>
      </c>
      <c r="P32" s="18">
        <v>1.0</v>
      </c>
      <c r="Q32" s="18">
        <v>1.26308555E8</v>
      </c>
      <c r="R32" s="18">
        <v>3.78925665E10</v>
      </c>
      <c r="S32" s="18" t="s">
        <v>188</v>
      </c>
      <c r="T32" s="18" t="s">
        <v>39</v>
      </c>
      <c r="U32" s="18" t="s">
        <v>40</v>
      </c>
      <c r="V32" s="18" t="s">
        <v>52</v>
      </c>
    </row>
    <row r="33" ht="15.75" customHeight="1">
      <c r="A33" s="18">
        <v>1.0</v>
      </c>
      <c r="D33" s="18" t="s">
        <v>293</v>
      </c>
      <c r="E33" s="18">
        <f t="shared" si="1"/>
        <v>50.4041535</v>
      </c>
      <c r="F33" s="21" t="s">
        <v>772</v>
      </c>
      <c r="G33" s="18" t="s">
        <v>295</v>
      </c>
      <c r="H33" s="18" t="s">
        <v>46</v>
      </c>
      <c r="I33" s="18" t="s">
        <v>33</v>
      </c>
      <c r="J33" s="18" t="s">
        <v>47</v>
      </c>
      <c r="K33" s="18" t="s">
        <v>48</v>
      </c>
      <c r="L33" s="18" t="s">
        <v>49</v>
      </c>
      <c r="M33" s="18" t="s">
        <v>296</v>
      </c>
      <c r="O33" s="18">
        <v>13393.38</v>
      </c>
      <c r="P33" s="18">
        <v>1.0</v>
      </c>
      <c r="Q33" s="18">
        <v>1.34411076E8</v>
      </c>
      <c r="R33" s="18">
        <v>4.03233228E10</v>
      </c>
      <c r="S33" s="18" t="s">
        <v>297</v>
      </c>
      <c r="T33" s="18" t="s">
        <v>39</v>
      </c>
      <c r="U33" s="18" t="s">
        <v>40</v>
      </c>
      <c r="V33" s="18" t="s">
        <v>52</v>
      </c>
    </row>
    <row r="34" ht="15.75" customHeight="1">
      <c r="A34" s="40">
        <v>1.0</v>
      </c>
      <c r="D34" s="18" t="s">
        <v>423</v>
      </c>
      <c r="E34" s="18">
        <f t="shared" si="1"/>
        <v>43.11131394</v>
      </c>
      <c r="F34" s="21" t="s">
        <v>773</v>
      </c>
      <c r="G34" s="18" t="s">
        <v>425</v>
      </c>
      <c r="H34" s="18" t="s">
        <v>426</v>
      </c>
      <c r="I34" s="18" t="s">
        <v>427</v>
      </c>
      <c r="J34" s="18" t="s">
        <v>428</v>
      </c>
      <c r="K34" s="18" t="s">
        <v>429</v>
      </c>
      <c r="L34" s="18" t="s">
        <v>430</v>
      </c>
      <c r="M34" s="18" t="s">
        <v>431</v>
      </c>
      <c r="O34" s="18">
        <v>14461.27</v>
      </c>
      <c r="P34" s="18">
        <v>1.0</v>
      </c>
      <c r="Q34" s="18">
        <v>1.70737877E8</v>
      </c>
      <c r="R34" s="18">
        <v>3.4489051154E10</v>
      </c>
      <c r="S34" s="18" t="s">
        <v>432</v>
      </c>
      <c r="T34" s="18" t="s">
        <v>39</v>
      </c>
      <c r="U34" s="18" t="s">
        <v>40</v>
      </c>
      <c r="V34" s="18" t="s">
        <v>41</v>
      </c>
    </row>
    <row r="35" ht="15.75" customHeight="1">
      <c r="A35" s="18">
        <v>1.0</v>
      </c>
      <c r="D35" s="18" t="s">
        <v>190</v>
      </c>
      <c r="E35" s="18">
        <f t="shared" si="1"/>
        <v>19.08508088</v>
      </c>
      <c r="F35" s="21" t="s">
        <v>774</v>
      </c>
      <c r="G35" s="18" t="s">
        <v>192</v>
      </c>
      <c r="H35" s="18" t="s">
        <v>193</v>
      </c>
      <c r="I35" s="18" t="s">
        <v>194</v>
      </c>
      <c r="J35" s="18" t="s">
        <v>195</v>
      </c>
      <c r="K35" s="18" t="s">
        <v>196</v>
      </c>
      <c r="L35" s="18" t="s">
        <v>197</v>
      </c>
      <c r="M35" s="18" t="s">
        <v>198</v>
      </c>
      <c r="O35" s="18">
        <v>5521.13</v>
      </c>
      <c r="P35" s="18">
        <v>1.0</v>
      </c>
      <c r="Q35" s="18">
        <v>5.0893549E7</v>
      </c>
      <c r="R35" s="18">
        <v>1.52680647E10</v>
      </c>
      <c r="S35" s="18" t="s">
        <v>199</v>
      </c>
      <c r="T35" s="18" t="s">
        <v>39</v>
      </c>
      <c r="U35" s="18" t="s">
        <v>40</v>
      </c>
      <c r="V35" s="18" t="s">
        <v>41</v>
      </c>
    </row>
    <row r="36" ht="15.75" customHeight="1">
      <c r="A36" s="40">
        <v>1.0</v>
      </c>
      <c r="D36" s="18" t="s">
        <v>442</v>
      </c>
      <c r="E36" s="18">
        <f t="shared" si="1"/>
        <v>39.607968</v>
      </c>
      <c r="F36" s="23" t="s">
        <v>775</v>
      </c>
      <c r="G36" s="18" t="s">
        <v>444</v>
      </c>
      <c r="H36" s="18" t="s">
        <v>445</v>
      </c>
      <c r="I36" s="18" t="s">
        <v>33</v>
      </c>
      <c r="J36" s="18" t="s">
        <v>446</v>
      </c>
      <c r="K36" s="18" t="s">
        <v>447</v>
      </c>
      <c r="L36" s="18" t="s">
        <v>448</v>
      </c>
      <c r="M36" s="18" t="s">
        <v>449</v>
      </c>
      <c r="O36" s="18">
        <v>9956.9</v>
      </c>
      <c r="P36" s="18">
        <v>1.0</v>
      </c>
      <c r="Q36" s="18">
        <v>1.05621248E8</v>
      </c>
      <c r="R36" s="18">
        <v>3.16863744E10</v>
      </c>
      <c r="S36" s="18" t="s">
        <v>450</v>
      </c>
      <c r="T36" s="18" t="s">
        <v>39</v>
      </c>
      <c r="U36" s="18" t="s">
        <v>40</v>
      </c>
      <c r="V36" s="18" t="s">
        <v>52</v>
      </c>
    </row>
    <row r="37" ht="15.75" customHeight="1">
      <c r="A37" s="40">
        <v>1.0</v>
      </c>
      <c r="D37" s="18" t="s">
        <v>201</v>
      </c>
      <c r="E37" s="18">
        <f t="shared" si="1"/>
        <v>40.56090338</v>
      </c>
      <c r="F37" s="21" t="s">
        <v>776</v>
      </c>
      <c r="G37" s="18" t="s">
        <v>203</v>
      </c>
      <c r="H37" s="18" t="s">
        <v>46</v>
      </c>
      <c r="I37" s="18" t="s">
        <v>33</v>
      </c>
      <c r="J37" s="18" t="s">
        <v>47</v>
      </c>
      <c r="K37" s="18" t="s">
        <v>48</v>
      </c>
      <c r="L37" s="18" t="s">
        <v>49</v>
      </c>
      <c r="M37" s="18" t="s">
        <v>204</v>
      </c>
      <c r="O37" s="18">
        <v>10091.29</v>
      </c>
      <c r="P37" s="18">
        <v>1.0</v>
      </c>
      <c r="Q37" s="18">
        <v>1.08162409E8</v>
      </c>
      <c r="R37" s="18">
        <v>3.24487227E10</v>
      </c>
      <c r="S37" s="18" t="s">
        <v>205</v>
      </c>
      <c r="T37" s="18" t="s">
        <v>39</v>
      </c>
      <c r="U37" s="18" t="s">
        <v>40</v>
      </c>
      <c r="V37" s="18" t="s">
        <v>52</v>
      </c>
    </row>
    <row r="38" ht="15.75" customHeight="1">
      <c r="A38" s="18">
        <v>1.0</v>
      </c>
      <c r="D38" s="18" t="s">
        <v>131</v>
      </c>
      <c r="E38" s="18">
        <f t="shared" si="1"/>
        <v>40.60192613</v>
      </c>
      <c r="F38" s="19" t="s">
        <v>777</v>
      </c>
      <c r="G38" s="18" t="s">
        <v>133</v>
      </c>
      <c r="H38" s="18" t="s">
        <v>46</v>
      </c>
      <c r="I38" s="18" t="s">
        <v>33</v>
      </c>
      <c r="J38" s="18" t="s">
        <v>47</v>
      </c>
      <c r="K38" s="18" t="s">
        <v>48</v>
      </c>
      <c r="L38" s="18" t="s">
        <v>49</v>
      </c>
      <c r="M38" s="18" t="s">
        <v>134</v>
      </c>
      <c r="O38" s="18">
        <v>10384.93</v>
      </c>
      <c r="P38" s="18">
        <v>1.0</v>
      </c>
      <c r="Q38" s="18">
        <v>1.08271803E8</v>
      </c>
      <c r="R38" s="18">
        <v>3.24815409E10</v>
      </c>
      <c r="S38" s="18" t="s">
        <v>135</v>
      </c>
      <c r="T38" s="18" t="s">
        <v>39</v>
      </c>
      <c r="U38" s="18" t="s">
        <v>40</v>
      </c>
      <c r="V38" s="18" t="s">
        <v>52</v>
      </c>
    </row>
    <row r="39" ht="15.75" customHeight="1">
      <c r="A39" s="18">
        <v>1.0</v>
      </c>
      <c r="D39" s="18" t="s">
        <v>299</v>
      </c>
      <c r="E39" s="18">
        <f t="shared" si="1"/>
        <v>41.79874238</v>
      </c>
      <c r="F39" s="21" t="s">
        <v>778</v>
      </c>
      <c r="G39" s="18" t="s">
        <v>301</v>
      </c>
      <c r="H39" s="18" t="s">
        <v>46</v>
      </c>
      <c r="I39" s="18" t="s">
        <v>33</v>
      </c>
      <c r="J39" s="18" t="s">
        <v>47</v>
      </c>
      <c r="K39" s="18" t="s">
        <v>48</v>
      </c>
      <c r="L39" s="18" t="s">
        <v>49</v>
      </c>
      <c r="M39" s="18" t="s">
        <v>302</v>
      </c>
      <c r="O39" s="18">
        <v>10517.0</v>
      </c>
      <c r="P39" s="18">
        <v>1.0</v>
      </c>
      <c r="Q39" s="18">
        <v>1.11463313E8</v>
      </c>
      <c r="R39" s="18">
        <v>3.34389939E10</v>
      </c>
      <c r="S39" s="18" t="s">
        <v>303</v>
      </c>
      <c r="T39" s="18" t="s">
        <v>39</v>
      </c>
      <c r="U39" s="18" t="s">
        <v>40</v>
      </c>
      <c r="V39" s="18" t="s">
        <v>52</v>
      </c>
    </row>
    <row r="40" ht="15.75" customHeight="1">
      <c r="A40" s="40">
        <v>1.0</v>
      </c>
      <c r="D40" s="18" t="s">
        <v>305</v>
      </c>
      <c r="E40" s="18">
        <f t="shared" si="1"/>
        <v>40.10092163</v>
      </c>
      <c r="F40" s="21" t="s">
        <v>779</v>
      </c>
      <c r="G40" s="18" t="s">
        <v>307</v>
      </c>
      <c r="H40" s="18" t="s">
        <v>46</v>
      </c>
      <c r="I40" s="18" t="s">
        <v>33</v>
      </c>
      <c r="J40" s="18" t="s">
        <v>47</v>
      </c>
      <c r="K40" s="18" t="s">
        <v>48</v>
      </c>
      <c r="L40" s="18" t="s">
        <v>49</v>
      </c>
      <c r="M40" s="18" t="s">
        <v>308</v>
      </c>
      <c r="O40" s="18">
        <v>10512.52</v>
      </c>
      <c r="P40" s="18">
        <v>1.0</v>
      </c>
      <c r="Q40" s="18">
        <v>1.06935791E8</v>
      </c>
      <c r="R40" s="18">
        <v>3.20807373E10</v>
      </c>
      <c r="S40" s="18" t="s">
        <v>309</v>
      </c>
      <c r="T40" s="18" t="s">
        <v>39</v>
      </c>
      <c r="U40" s="18" t="s">
        <v>40</v>
      </c>
      <c r="V40" s="18" t="s">
        <v>52</v>
      </c>
    </row>
    <row r="41" ht="15.75" customHeight="1">
      <c r="A41" s="18">
        <v>1.0</v>
      </c>
      <c r="D41" s="18" t="s">
        <v>207</v>
      </c>
      <c r="E41" s="18">
        <f t="shared" si="1"/>
        <v>16.396548</v>
      </c>
      <c r="F41" s="21" t="s">
        <v>780</v>
      </c>
      <c r="G41" s="18" t="s">
        <v>209</v>
      </c>
      <c r="H41" s="18" t="s">
        <v>210</v>
      </c>
      <c r="I41" s="18" t="s">
        <v>33</v>
      </c>
      <c r="J41" s="18" t="s">
        <v>195</v>
      </c>
      <c r="K41" s="18" t="s">
        <v>211</v>
      </c>
      <c r="L41" s="18" t="s">
        <v>212</v>
      </c>
      <c r="M41" s="18" t="s">
        <v>213</v>
      </c>
      <c r="O41" s="18">
        <v>4104.35</v>
      </c>
      <c r="P41" s="18">
        <v>1.0</v>
      </c>
      <c r="Q41" s="18">
        <v>4.3724128E7</v>
      </c>
      <c r="R41" s="18">
        <v>1.31172384E10</v>
      </c>
      <c r="S41" s="18" t="s">
        <v>214</v>
      </c>
      <c r="T41" s="18" t="s">
        <v>39</v>
      </c>
      <c r="U41" s="18" t="s">
        <v>40</v>
      </c>
      <c r="V41" s="18" t="s">
        <v>41</v>
      </c>
    </row>
    <row r="42" ht="15.75" customHeight="1">
      <c r="A42" s="18">
        <v>1.0</v>
      </c>
      <c r="D42" s="18" t="s">
        <v>137</v>
      </c>
      <c r="E42" s="18">
        <f t="shared" si="1"/>
        <v>41.83428488</v>
      </c>
      <c r="F42" s="23" t="s">
        <v>781</v>
      </c>
      <c r="G42" s="18" t="s">
        <v>139</v>
      </c>
      <c r="H42" s="18" t="s">
        <v>46</v>
      </c>
      <c r="I42" s="18" t="s">
        <v>33</v>
      </c>
      <c r="J42" s="18" t="s">
        <v>47</v>
      </c>
      <c r="K42" s="18" t="s">
        <v>48</v>
      </c>
      <c r="L42" s="18" t="s">
        <v>49</v>
      </c>
      <c r="M42" s="18" t="s">
        <v>140</v>
      </c>
      <c r="O42" s="18">
        <v>10833.57</v>
      </c>
      <c r="P42" s="18">
        <v>1.0</v>
      </c>
      <c r="Q42" s="18">
        <v>1.11558093E8</v>
      </c>
      <c r="R42" s="18">
        <v>3.34674279E10</v>
      </c>
      <c r="S42" s="18" t="s">
        <v>141</v>
      </c>
      <c r="T42" s="18" t="s">
        <v>39</v>
      </c>
      <c r="U42" s="18" t="s">
        <v>40</v>
      </c>
      <c r="V42" s="18" t="s">
        <v>52</v>
      </c>
    </row>
    <row r="43" ht="15.75" customHeight="1">
      <c r="A43" s="40">
        <v>1.0</v>
      </c>
      <c r="D43" s="18" t="s">
        <v>456</v>
      </c>
      <c r="E43" s="18">
        <f t="shared" si="1"/>
        <v>63.18187338</v>
      </c>
      <c r="F43" s="21" t="s">
        <v>782</v>
      </c>
      <c r="G43" s="18" t="s">
        <v>458</v>
      </c>
      <c r="H43" s="18" t="s">
        <v>459</v>
      </c>
      <c r="I43" s="18" t="s">
        <v>427</v>
      </c>
      <c r="J43" s="18" t="s">
        <v>460</v>
      </c>
      <c r="K43" s="18" t="s">
        <v>461</v>
      </c>
      <c r="L43" s="18" t="s">
        <v>462</v>
      </c>
      <c r="M43" s="18" t="s">
        <v>463</v>
      </c>
      <c r="O43" s="18">
        <v>20106.69</v>
      </c>
      <c r="P43" s="18">
        <v>1.0</v>
      </c>
      <c r="Q43" s="18">
        <v>1.67369201E8</v>
      </c>
      <c r="R43" s="18">
        <v>5.0545498702E10</v>
      </c>
      <c r="S43" s="18" t="s">
        <v>464</v>
      </c>
      <c r="T43" s="18" t="s">
        <v>39</v>
      </c>
      <c r="U43" s="18" t="s">
        <v>40</v>
      </c>
      <c r="V43" s="18" t="s">
        <v>404</v>
      </c>
    </row>
    <row r="44" ht="15.75" customHeight="1">
      <c r="A44" s="18">
        <v>1.0</v>
      </c>
      <c r="D44" s="18" t="s">
        <v>311</v>
      </c>
      <c r="E44" s="18">
        <f t="shared" si="1"/>
        <v>33.25748813</v>
      </c>
      <c r="F44" s="21" t="s">
        <v>783</v>
      </c>
      <c r="G44" s="18" t="s">
        <v>313</v>
      </c>
      <c r="H44" s="18" t="s">
        <v>314</v>
      </c>
      <c r="I44" s="18" t="s">
        <v>194</v>
      </c>
      <c r="J44" s="18" t="s">
        <v>315</v>
      </c>
      <c r="K44" s="18" t="s">
        <v>316</v>
      </c>
      <c r="L44" s="18" t="s">
        <v>311</v>
      </c>
      <c r="M44" s="18" t="s">
        <v>317</v>
      </c>
      <c r="O44" s="18">
        <v>8260.27</v>
      </c>
      <c r="P44" s="18">
        <v>1.0</v>
      </c>
      <c r="Q44" s="18">
        <v>8.8686635E7</v>
      </c>
      <c r="R44" s="18">
        <v>2.66059905E10</v>
      </c>
      <c r="S44" s="18" t="s">
        <v>314</v>
      </c>
      <c r="T44" s="18" t="s">
        <v>39</v>
      </c>
      <c r="U44" s="18" t="s">
        <v>40</v>
      </c>
      <c r="V44" s="18" t="s">
        <v>41</v>
      </c>
    </row>
    <row r="45" ht="15.75" customHeight="1">
      <c r="A45" s="18">
        <v>1.0</v>
      </c>
      <c r="D45" s="18" t="s">
        <v>331</v>
      </c>
      <c r="E45" s="18">
        <f t="shared" si="1"/>
        <v>25.37270095</v>
      </c>
      <c r="F45" s="21" t="s">
        <v>784</v>
      </c>
      <c r="G45" s="18" t="s">
        <v>334</v>
      </c>
      <c r="H45" s="18" t="s">
        <v>46</v>
      </c>
      <c r="I45" s="18" t="s">
        <v>33</v>
      </c>
      <c r="J45" s="18" t="s">
        <v>47</v>
      </c>
      <c r="K45" s="18" t="s">
        <v>48</v>
      </c>
      <c r="L45" s="18" t="s">
        <v>49</v>
      </c>
      <c r="M45" s="18" t="s">
        <v>335</v>
      </c>
      <c r="O45" s="18">
        <v>6624.93</v>
      </c>
      <c r="P45" s="18">
        <v>1.0</v>
      </c>
      <c r="Q45" s="18">
        <v>1.33332815E8</v>
      </c>
      <c r="R45" s="18">
        <v>2.0298160762E10</v>
      </c>
      <c r="S45" s="18" t="s">
        <v>336</v>
      </c>
      <c r="T45" s="18" t="s">
        <v>39</v>
      </c>
      <c r="U45" s="18" t="s">
        <v>40</v>
      </c>
      <c r="V45" s="18" t="s">
        <v>52</v>
      </c>
    </row>
    <row r="46" ht="15.75" customHeight="1">
      <c r="A46" s="40">
        <v>1.0</v>
      </c>
      <c r="D46" s="18" t="s">
        <v>216</v>
      </c>
      <c r="E46" s="18">
        <f t="shared" si="1"/>
        <v>38.78685863</v>
      </c>
      <c r="F46" s="21" t="s">
        <v>785</v>
      </c>
      <c r="G46" s="18" t="s">
        <v>218</v>
      </c>
      <c r="H46" s="18" t="s">
        <v>46</v>
      </c>
      <c r="I46" s="18" t="s">
        <v>33</v>
      </c>
      <c r="J46" s="18" t="s">
        <v>47</v>
      </c>
      <c r="K46" s="18" t="s">
        <v>48</v>
      </c>
      <c r="L46" s="18" t="s">
        <v>49</v>
      </c>
      <c r="M46" s="18" t="s">
        <v>219</v>
      </c>
      <c r="O46" s="18">
        <v>9983.29</v>
      </c>
      <c r="P46" s="18">
        <v>1.0</v>
      </c>
      <c r="Q46" s="18">
        <v>1.03431623E8</v>
      </c>
      <c r="R46" s="18">
        <v>3.10294869E10</v>
      </c>
      <c r="S46" s="18" t="s">
        <v>220</v>
      </c>
      <c r="T46" s="18" t="s">
        <v>39</v>
      </c>
      <c r="U46" s="18" t="s">
        <v>40</v>
      </c>
      <c r="V46" s="18" t="s">
        <v>52</v>
      </c>
    </row>
    <row r="47" ht="15.75" customHeight="1">
      <c r="A47" s="18">
        <v>1.0</v>
      </c>
      <c r="D47" s="18" t="s">
        <v>222</v>
      </c>
      <c r="E47" s="18">
        <f t="shared" si="1"/>
        <v>36.65036513</v>
      </c>
      <c r="F47" s="21" t="s">
        <v>786</v>
      </c>
      <c r="G47" s="18" t="s">
        <v>224</v>
      </c>
      <c r="H47" s="18" t="s">
        <v>46</v>
      </c>
      <c r="I47" s="18" t="s">
        <v>33</v>
      </c>
      <c r="J47" s="18" t="s">
        <v>47</v>
      </c>
      <c r="K47" s="18" t="s">
        <v>48</v>
      </c>
      <c r="L47" s="18" t="s">
        <v>49</v>
      </c>
      <c r="M47" s="18" t="s">
        <v>225</v>
      </c>
      <c r="O47" s="18">
        <v>9515.91</v>
      </c>
      <c r="P47" s="18">
        <v>1.0</v>
      </c>
      <c r="Q47" s="18">
        <v>9.7734307E7</v>
      </c>
      <c r="R47" s="18">
        <v>2.93202921E10</v>
      </c>
      <c r="S47" s="18" t="s">
        <v>226</v>
      </c>
      <c r="T47" s="18" t="s">
        <v>39</v>
      </c>
      <c r="U47" s="18" t="s">
        <v>40</v>
      </c>
      <c r="V47" s="18" t="s">
        <v>52</v>
      </c>
    </row>
    <row r="48" ht="15.75" customHeight="1">
      <c r="A48" s="40">
        <v>1.0</v>
      </c>
      <c r="D48" s="18" t="s">
        <v>468</v>
      </c>
      <c r="E48" s="18">
        <f t="shared" si="1"/>
        <v>55.54805925</v>
      </c>
      <c r="F48" s="21" t="s">
        <v>787</v>
      </c>
      <c r="G48" s="18" t="s">
        <v>470</v>
      </c>
      <c r="H48" s="18" t="s">
        <v>46</v>
      </c>
      <c r="I48" s="18" t="s">
        <v>33</v>
      </c>
      <c r="J48" s="18" t="s">
        <v>47</v>
      </c>
      <c r="K48" s="18" t="s">
        <v>48</v>
      </c>
      <c r="L48" s="18" t="s">
        <v>49</v>
      </c>
      <c r="M48" s="18" t="s">
        <v>471</v>
      </c>
      <c r="O48" s="18">
        <v>13803.68</v>
      </c>
      <c r="P48" s="18">
        <v>1.0</v>
      </c>
      <c r="Q48" s="18">
        <v>1.48128158E8</v>
      </c>
      <c r="R48" s="18">
        <v>4.44384474E10</v>
      </c>
      <c r="S48" s="18" t="s">
        <v>472</v>
      </c>
      <c r="T48" s="18" t="s">
        <v>39</v>
      </c>
      <c r="U48" s="18" t="s">
        <v>40</v>
      </c>
      <c r="V48" s="18" t="s">
        <v>52</v>
      </c>
    </row>
    <row r="49" ht="15.75" customHeight="1">
      <c r="A49" s="18">
        <v>1.0</v>
      </c>
      <c r="D49" s="18" t="s">
        <v>228</v>
      </c>
      <c r="E49" s="18">
        <f t="shared" si="1"/>
        <v>16.75462725</v>
      </c>
      <c r="F49" s="21" t="s">
        <v>788</v>
      </c>
      <c r="G49" s="18" t="s">
        <v>230</v>
      </c>
      <c r="H49" s="18" t="s">
        <v>231</v>
      </c>
      <c r="I49" s="18" t="s">
        <v>33</v>
      </c>
      <c r="J49" s="18" t="s">
        <v>195</v>
      </c>
      <c r="K49" s="18" t="s">
        <v>211</v>
      </c>
      <c r="L49" s="18" t="s">
        <v>212</v>
      </c>
      <c r="M49" s="18" t="s">
        <v>232</v>
      </c>
      <c r="O49" s="18">
        <v>4185.95</v>
      </c>
      <c r="P49" s="18">
        <v>1.0</v>
      </c>
      <c r="Q49" s="18">
        <v>4.4679006E7</v>
      </c>
      <c r="R49" s="18">
        <v>1.34037018E10</v>
      </c>
      <c r="S49" s="18" t="s">
        <v>233</v>
      </c>
      <c r="T49" s="18" t="s">
        <v>39</v>
      </c>
      <c r="U49" s="18" t="s">
        <v>40</v>
      </c>
      <c r="V49" s="18" t="s">
        <v>41</v>
      </c>
    </row>
    <row r="50" ht="15.75" customHeight="1">
      <c r="A50" s="40">
        <v>1.0</v>
      </c>
      <c r="D50" s="31" t="s">
        <v>474</v>
      </c>
      <c r="E50" s="32">
        <v>36.7439768</v>
      </c>
      <c r="F50" s="19" t="s">
        <v>789</v>
      </c>
      <c r="G50" s="31" t="s">
        <v>476</v>
      </c>
      <c r="H50" s="31" t="s">
        <v>46</v>
      </c>
      <c r="I50" s="31" t="s">
        <v>33</v>
      </c>
      <c r="J50" s="31" t="s">
        <v>47</v>
      </c>
      <c r="K50" s="31" t="s">
        <v>48</v>
      </c>
      <c r="L50" s="31" t="s">
        <v>49</v>
      </c>
      <c r="M50" s="31" t="s">
        <v>477</v>
      </c>
      <c r="O50" s="32">
        <v>9623.26</v>
      </c>
      <c r="P50" s="32">
        <v>1.0</v>
      </c>
      <c r="Q50" s="32">
        <v>9.7983938E7</v>
      </c>
      <c r="R50" s="44">
        <v>2.9395E10</v>
      </c>
      <c r="S50" s="31" t="s">
        <v>478</v>
      </c>
      <c r="T50" s="31" t="s">
        <v>39</v>
      </c>
      <c r="U50" s="31" t="s">
        <v>40</v>
      </c>
      <c r="V50" s="31" t="s">
        <v>52</v>
      </c>
    </row>
    <row r="51" ht="15.75" customHeight="1">
      <c r="A51" s="18">
        <v>1.0</v>
      </c>
      <c r="D51" s="18" t="s">
        <v>319</v>
      </c>
      <c r="E51" s="18">
        <f t="shared" ref="E51:E86" si="2">R51/800000000</f>
        <v>44.8826595</v>
      </c>
      <c r="F51" s="21" t="s">
        <v>790</v>
      </c>
      <c r="G51" s="18" t="s">
        <v>321</v>
      </c>
      <c r="H51" s="18" t="s">
        <v>46</v>
      </c>
      <c r="I51" s="18" t="s">
        <v>33</v>
      </c>
      <c r="J51" s="18" t="s">
        <v>47</v>
      </c>
      <c r="K51" s="18" t="s">
        <v>48</v>
      </c>
      <c r="L51" s="18" t="s">
        <v>49</v>
      </c>
      <c r="M51" s="18" t="s">
        <v>322</v>
      </c>
      <c r="O51" s="18">
        <v>11747.07</v>
      </c>
      <c r="P51" s="18">
        <v>1.0</v>
      </c>
      <c r="Q51" s="18">
        <v>1.19687092E8</v>
      </c>
      <c r="R51" s="18">
        <v>3.59061276E10</v>
      </c>
      <c r="S51" s="18" t="s">
        <v>323</v>
      </c>
      <c r="T51" s="18" t="s">
        <v>39</v>
      </c>
      <c r="U51" s="18" t="s">
        <v>40</v>
      </c>
      <c r="V51" s="18" t="s">
        <v>52</v>
      </c>
    </row>
    <row r="52" ht="15.75" customHeight="1">
      <c r="A52" s="18">
        <v>1.0</v>
      </c>
      <c r="D52" s="18" t="s">
        <v>480</v>
      </c>
      <c r="E52" s="18">
        <f t="shared" si="2"/>
        <v>31.64552963</v>
      </c>
      <c r="F52" s="21" t="s">
        <v>791</v>
      </c>
      <c r="G52" s="18" t="s">
        <v>482</v>
      </c>
      <c r="H52" s="18" t="s">
        <v>46</v>
      </c>
      <c r="I52" s="18" t="s">
        <v>33</v>
      </c>
      <c r="J52" s="18" t="s">
        <v>47</v>
      </c>
      <c r="K52" s="18" t="s">
        <v>48</v>
      </c>
      <c r="L52" s="18" t="s">
        <v>49</v>
      </c>
      <c r="M52" s="18" t="s">
        <v>483</v>
      </c>
      <c r="O52" s="18">
        <v>8289.94</v>
      </c>
      <c r="P52" s="18">
        <v>1.0</v>
      </c>
      <c r="Q52" s="18">
        <v>8.4388079E7</v>
      </c>
      <c r="R52" s="18">
        <v>2.53164237E10</v>
      </c>
      <c r="S52" s="18" t="s">
        <v>484</v>
      </c>
      <c r="T52" s="18" t="s">
        <v>39</v>
      </c>
      <c r="U52" s="18" t="s">
        <v>40</v>
      </c>
      <c r="V52" s="18" t="s">
        <v>52</v>
      </c>
    </row>
    <row r="53" ht="15.75" customHeight="1">
      <c r="A53" s="18">
        <v>1.0</v>
      </c>
      <c r="D53" s="18" t="s">
        <v>338</v>
      </c>
      <c r="E53" s="18">
        <f t="shared" si="2"/>
        <v>43.14699525</v>
      </c>
      <c r="F53" s="19" t="s">
        <v>792</v>
      </c>
      <c r="G53" s="18" t="s">
        <v>340</v>
      </c>
      <c r="H53" s="18" t="s">
        <v>46</v>
      </c>
      <c r="I53" s="18" t="s">
        <v>33</v>
      </c>
      <c r="J53" s="18" t="s">
        <v>47</v>
      </c>
      <c r="K53" s="18" t="s">
        <v>48</v>
      </c>
      <c r="L53" s="18" t="s">
        <v>49</v>
      </c>
      <c r="M53" s="18" t="s">
        <v>341</v>
      </c>
      <c r="O53" s="18">
        <v>10807.36</v>
      </c>
      <c r="P53" s="18">
        <v>1.0</v>
      </c>
      <c r="Q53" s="18">
        <v>1.15058654E8</v>
      </c>
      <c r="R53" s="18">
        <v>3.45175962E10</v>
      </c>
      <c r="S53" s="18" t="s">
        <v>342</v>
      </c>
      <c r="T53" s="18" t="s">
        <v>39</v>
      </c>
      <c r="U53" s="18" t="s">
        <v>40</v>
      </c>
      <c r="V53" s="18" t="s">
        <v>52</v>
      </c>
    </row>
    <row r="54" ht="15.75" customHeight="1">
      <c r="A54" s="18">
        <v>1.0</v>
      </c>
      <c r="D54" s="18" t="s">
        <v>143</v>
      </c>
      <c r="E54" s="18">
        <f t="shared" si="2"/>
        <v>16.78988894</v>
      </c>
      <c r="F54" s="23" t="s">
        <v>793</v>
      </c>
      <c r="G54" s="18" t="s">
        <v>145</v>
      </c>
      <c r="H54" s="18" t="s">
        <v>146</v>
      </c>
      <c r="I54" s="18" t="s">
        <v>33</v>
      </c>
      <c r="J54" s="18" t="s">
        <v>147</v>
      </c>
      <c r="K54" s="18" t="s">
        <v>148</v>
      </c>
      <c r="L54" s="18" t="s">
        <v>149</v>
      </c>
      <c r="M54" s="18" t="s">
        <v>150</v>
      </c>
      <c r="O54" s="18">
        <v>4388.13</v>
      </c>
      <c r="P54" s="18">
        <v>1.0</v>
      </c>
      <c r="Q54" s="18">
        <v>4.4476527E7</v>
      </c>
      <c r="R54" s="18">
        <v>1.3431911154E10</v>
      </c>
      <c r="S54" s="18" t="s">
        <v>151</v>
      </c>
      <c r="T54" s="18" t="s">
        <v>39</v>
      </c>
      <c r="U54" s="18" t="s">
        <v>40</v>
      </c>
      <c r="V54" s="18" t="s">
        <v>41</v>
      </c>
    </row>
    <row r="55" ht="15.75" customHeight="1">
      <c r="A55" s="18">
        <v>1.0</v>
      </c>
      <c r="D55" s="18" t="s">
        <v>235</v>
      </c>
      <c r="E55" s="18">
        <f t="shared" si="2"/>
        <v>15.19850138</v>
      </c>
      <c r="F55" s="21" t="s">
        <v>794</v>
      </c>
      <c r="G55" s="18" t="s">
        <v>237</v>
      </c>
      <c r="H55" s="18" t="s">
        <v>238</v>
      </c>
      <c r="I55" s="18" t="s">
        <v>194</v>
      </c>
      <c r="J55" s="18" t="s">
        <v>195</v>
      </c>
      <c r="K55" s="18" t="s">
        <v>211</v>
      </c>
      <c r="L55" s="18" t="s">
        <v>212</v>
      </c>
      <c r="M55" s="18" t="s">
        <v>239</v>
      </c>
      <c r="O55" s="18">
        <v>4257.48</v>
      </c>
      <c r="P55" s="18">
        <v>1.0</v>
      </c>
      <c r="Q55" s="18">
        <v>4.0529337E7</v>
      </c>
      <c r="R55" s="18">
        <v>1.21588011E10</v>
      </c>
      <c r="S55" s="18" t="s">
        <v>240</v>
      </c>
      <c r="T55" s="18" t="s">
        <v>39</v>
      </c>
      <c r="U55" s="18" t="s">
        <v>40</v>
      </c>
      <c r="V55" s="18" t="s">
        <v>41</v>
      </c>
    </row>
    <row r="56" ht="15.75" customHeight="1">
      <c r="A56" s="18">
        <v>1.0</v>
      </c>
      <c r="D56" s="18" t="s">
        <v>242</v>
      </c>
      <c r="E56" s="18">
        <f t="shared" si="2"/>
        <v>43.37231513</v>
      </c>
      <c r="F56" s="21" t="s">
        <v>795</v>
      </c>
      <c r="G56" s="18" t="s">
        <v>244</v>
      </c>
      <c r="H56" s="18" t="s">
        <v>46</v>
      </c>
      <c r="I56" s="18" t="s">
        <v>33</v>
      </c>
      <c r="J56" s="18" t="s">
        <v>47</v>
      </c>
      <c r="K56" s="18" t="s">
        <v>48</v>
      </c>
      <c r="L56" s="18" t="s">
        <v>49</v>
      </c>
      <c r="M56" s="18" t="s">
        <v>245</v>
      </c>
      <c r="O56" s="18">
        <v>10969.19</v>
      </c>
      <c r="P56" s="18">
        <v>1.0</v>
      </c>
      <c r="Q56" s="18">
        <v>1.15659507E8</v>
      </c>
      <c r="R56" s="18">
        <v>3.46978521E10</v>
      </c>
      <c r="S56" s="18" t="s">
        <v>246</v>
      </c>
      <c r="T56" s="18" t="s">
        <v>39</v>
      </c>
      <c r="U56" s="18" t="s">
        <v>40</v>
      </c>
      <c r="V56" s="18" t="s">
        <v>52</v>
      </c>
    </row>
    <row r="57" ht="15.75" customHeight="1">
      <c r="A57" s="18">
        <v>1.0</v>
      </c>
      <c r="D57" s="18" t="s">
        <v>486</v>
      </c>
      <c r="E57" s="18">
        <f t="shared" si="2"/>
        <v>48.82602938</v>
      </c>
      <c r="F57" s="23" t="s">
        <v>796</v>
      </c>
      <c r="G57" s="18" t="s">
        <v>488</v>
      </c>
      <c r="H57" s="18" t="s">
        <v>46</v>
      </c>
      <c r="I57" s="18" t="s">
        <v>33</v>
      </c>
      <c r="J57" s="18" t="s">
        <v>47</v>
      </c>
      <c r="K57" s="18" t="s">
        <v>48</v>
      </c>
      <c r="L57" s="18" t="s">
        <v>49</v>
      </c>
      <c r="M57" s="18" t="s">
        <v>489</v>
      </c>
      <c r="O57" s="18">
        <v>12463.22</v>
      </c>
      <c r="P57" s="18">
        <v>1.0</v>
      </c>
      <c r="Q57" s="18">
        <v>1.30202745E8</v>
      </c>
      <c r="R57" s="18">
        <v>3.90608235E10</v>
      </c>
      <c r="S57" s="18" t="s">
        <v>490</v>
      </c>
      <c r="T57" s="18" t="s">
        <v>39</v>
      </c>
      <c r="U57" s="18" t="s">
        <v>40</v>
      </c>
      <c r="V57" s="18" t="s">
        <v>52</v>
      </c>
    </row>
    <row r="58" ht="15.75" customHeight="1">
      <c r="A58" s="18">
        <v>1.0</v>
      </c>
      <c r="D58" s="18" t="s">
        <v>248</v>
      </c>
      <c r="E58" s="18">
        <f t="shared" si="2"/>
        <v>37.7720805</v>
      </c>
      <c r="F58" s="21" t="s">
        <v>797</v>
      </c>
      <c r="G58" s="18" t="s">
        <v>250</v>
      </c>
      <c r="H58" s="18" t="s">
        <v>46</v>
      </c>
      <c r="I58" s="18" t="s">
        <v>33</v>
      </c>
      <c r="J58" s="18" t="s">
        <v>47</v>
      </c>
      <c r="K58" s="18" t="s">
        <v>48</v>
      </c>
      <c r="L58" s="18" t="s">
        <v>49</v>
      </c>
      <c r="M58" s="18" t="s">
        <v>251</v>
      </c>
      <c r="O58" s="18">
        <v>9527.72</v>
      </c>
      <c r="P58" s="18">
        <v>1.0</v>
      </c>
      <c r="Q58" s="18">
        <v>1.00725548E8</v>
      </c>
      <c r="R58" s="18">
        <v>3.02176644E10</v>
      </c>
      <c r="S58" s="18" t="s">
        <v>252</v>
      </c>
      <c r="T58" s="18" t="s">
        <v>39</v>
      </c>
      <c r="U58" s="18" t="s">
        <v>40</v>
      </c>
      <c r="V58" s="18" t="s">
        <v>52</v>
      </c>
    </row>
    <row r="59" ht="15.75" customHeight="1">
      <c r="A59" s="40">
        <v>1.0</v>
      </c>
      <c r="D59" s="18" t="s">
        <v>66</v>
      </c>
      <c r="E59" s="18">
        <f t="shared" si="2"/>
        <v>82.99818425</v>
      </c>
      <c r="F59" s="21" t="s">
        <v>798</v>
      </c>
      <c r="G59" s="18" t="s">
        <v>68</v>
      </c>
      <c r="H59" s="18" t="s">
        <v>69</v>
      </c>
      <c r="I59" s="18" t="s">
        <v>70</v>
      </c>
      <c r="J59" s="18" t="s">
        <v>71</v>
      </c>
      <c r="K59" s="18" t="s">
        <v>72</v>
      </c>
      <c r="L59" s="18" t="s">
        <v>73</v>
      </c>
      <c r="M59" s="18" t="s">
        <v>74</v>
      </c>
      <c r="O59" s="18">
        <v>40867.64</v>
      </c>
      <c r="P59" s="18">
        <v>1.0</v>
      </c>
      <c r="Q59" s="18">
        <v>3.55639567E8</v>
      </c>
      <c r="R59" s="18">
        <v>6.63985474E10</v>
      </c>
      <c r="S59" s="18" t="s">
        <v>75</v>
      </c>
      <c r="T59" s="18" t="s">
        <v>39</v>
      </c>
      <c r="U59" s="18" t="s">
        <v>40</v>
      </c>
      <c r="V59" s="18" t="s">
        <v>41</v>
      </c>
    </row>
    <row r="60" ht="15.75" customHeight="1">
      <c r="A60" s="18">
        <v>1.0</v>
      </c>
      <c r="D60" s="18" t="s">
        <v>325</v>
      </c>
      <c r="E60" s="18">
        <f t="shared" si="2"/>
        <v>38.46003675</v>
      </c>
      <c r="F60" s="21" t="s">
        <v>799</v>
      </c>
      <c r="G60" s="18" t="s">
        <v>327</v>
      </c>
      <c r="H60" s="18" t="s">
        <v>46</v>
      </c>
      <c r="I60" s="18" t="s">
        <v>33</v>
      </c>
      <c r="J60" s="18" t="s">
        <v>47</v>
      </c>
      <c r="K60" s="18" t="s">
        <v>48</v>
      </c>
      <c r="L60" s="18" t="s">
        <v>49</v>
      </c>
      <c r="M60" s="18" t="s">
        <v>328</v>
      </c>
      <c r="O60" s="18">
        <v>10070.45</v>
      </c>
      <c r="P60" s="18">
        <v>1.0</v>
      </c>
      <c r="Q60" s="18">
        <v>1.02560098E8</v>
      </c>
      <c r="R60" s="18">
        <v>3.07680294E10</v>
      </c>
      <c r="S60" s="18" t="s">
        <v>329</v>
      </c>
      <c r="T60" s="18" t="s">
        <v>39</v>
      </c>
      <c r="U60" s="18" t="s">
        <v>40</v>
      </c>
      <c r="V60" s="18" t="s">
        <v>52</v>
      </c>
    </row>
    <row r="61" ht="15.75" customHeight="1">
      <c r="A61" s="18">
        <v>1.0</v>
      </c>
      <c r="D61" s="18" t="s">
        <v>153</v>
      </c>
      <c r="E61" s="18">
        <f t="shared" si="2"/>
        <v>40.58015288</v>
      </c>
      <c r="F61" s="21" t="s">
        <v>800</v>
      </c>
      <c r="G61" s="18" t="s">
        <v>155</v>
      </c>
      <c r="H61" s="18" t="s">
        <v>46</v>
      </c>
      <c r="I61" s="18" t="s">
        <v>33</v>
      </c>
      <c r="J61" s="18" t="s">
        <v>47</v>
      </c>
      <c r="K61" s="18" t="s">
        <v>48</v>
      </c>
      <c r="L61" s="18" t="s">
        <v>49</v>
      </c>
      <c r="M61" s="18" t="s">
        <v>156</v>
      </c>
      <c r="O61" s="18">
        <v>10508.43</v>
      </c>
      <c r="P61" s="18">
        <v>1.0</v>
      </c>
      <c r="Q61" s="18">
        <v>1.08213741E8</v>
      </c>
      <c r="R61" s="18">
        <v>3.24641223E10</v>
      </c>
      <c r="S61" s="18" t="s">
        <v>157</v>
      </c>
      <c r="T61" s="18" t="s">
        <v>39</v>
      </c>
      <c r="U61" s="18" t="s">
        <v>40</v>
      </c>
      <c r="V61" s="18" t="s">
        <v>52</v>
      </c>
    </row>
    <row r="62" ht="15.75" customHeight="1">
      <c r="A62" s="18">
        <v>1.0</v>
      </c>
      <c r="D62" s="18" t="s">
        <v>351</v>
      </c>
      <c r="E62" s="18">
        <f t="shared" si="2"/>
        <v>36.575481</v>
      </c>
      <c r="F62" s="21" t="s">
        <v>801</v>
      </c>
      <c r="G62" s="18" t="s">
        <v>353</v>
      </c>
      <c r="H62" s="18" t="s">
        <v>46</v>
      </c>
      <c r="I62" s="18" t="s">
        <v>33</v>
      </c>
      <c r="J62" s="18" t="s">
        <v>47</v>
      </c>
      <c r="K62" s="18" t="s">
        <v>48</v>
      </c>
      <c r="L62" s="18" t="s">
        <v>49</v>
      </c>
      <c r="M62" s="18" t="s">
        <v>354</v>
      </c>
      <c r="O62" s="18">
        <v>9293.09</v>
      </c>
      <c r="P62" s="18">
        <v>1.0</v>
      </c>
      <c r="Q62" s="18">
        <v>9.7534616E7</v>
      </c>
      <c r="R62" s="18">
        <v>2.92603848E10</v>
      </c>
      <c r="S62" s="18" t="s">
        <v>355</v>
      </c>
      <c r="T62" s="18" t="s">
        <v>39</v>
      </c>
      <c r="U62" s="18" t="s">
        <v>40</v>
      </c>
      <c r="V62" s="18" t="s">
        <v>52</v>
      </c>
    </row>
    <row r="63" ht="15.75" customHeight="1">
      <c r="A63" s="18">
        <v>1.0</v>
      </c>
      <c r="D63" s="18" t="s">
        <v>357</v>
      </c>
      <c r="E63" s="18">
        <f t="shared" si="2"/>
        <v>34.117008</v>
      </c>
      <c r="F63" s="21" t="s">
        <v>802</v>
      </c>
      <c r="G63" s="18" t="s">
        <v>359</v>
      </c>
      <c r="H63" s="18" t="s">
        <v>46</v>
      </c>
      <c r="I63" s="18" t="s">
        <v>33</v>
      </c>
      <c r="J63" s="18" t="s">
        <v>47</v>
      </c>
      <c r="K63" s="18" t="s">
        <v>48</v>
      </c>
      <c r="L63" s="18" t="s">
        <v>49</v>
      </c>
      <c r="M63" s="18" t="s">
        <v>360</v>
      </c>
      <c r="O63" s="18">
        <v>8902.34</v>
      </c>
      <c r="P63" s="18">
        <v>1.0</v>
      </c>
      <c r="Q63" s="18">
        <v>9.0978688E7</v>
      </c>
      <c r="R63" s="18">
        <v>2.72936064E10</v>
      </c>
      <c r="S63" s="18" t="s">
        <v>361</v>
      </c>
      <c r="T63" s="18" t="s">
        <v>39</v>
      </c>
      <c r="U63" s="18" t="s">
        <v>40</v>
      </c>
      <c r="V63" s="18" t="s">
        <v>52</v>
      </c>
    </row>
    <row r="64" ht="15.75" customHeight="1">
      <c r="A64" s="18">
        <v>1.0</v>
      </c>
      <c r="D64" s="18" t="s">
        <v>77</v>
      </c>
      <c r="E64" s="18">
        <f t="shared" si="2"/>
        <v>44.00103788</v>
      </c>
      <c r="F64" s="21" t="s">
        <v>803</v>
      </c>
      <c r="G64" s="18" t="s">
        <v>79</v>
      </c>
      <c r="H64" s="18" t="s">
        <v>32</v>
      </c>
      <c r="I64" s="18" t="s">
        <v>33</v>
      </c>
      <c r="J64" s="18" t="s">
        <v>34</v>
      </c>
      <c r="K64" s="18" t="s">
        <v>35</v>
      </c>
      <c r="L64" s="18" t="s">
        <v>36</v>
      </c>
      <c r="M64" s="18" t="s">
        <v>80</v>
      </c>
      <c r="O64" s="18">
        <v>14417.26</v>
      </c>
      <c r="P64" s="18">
        <v>1.0</v>
      </c>
      <c r="Q64" s="18">
        <v>1.17336101E8</v>
      </c>
      <c r="R64" s="18">
        <v>3.52008303E10</v>
      </c>
      <c r="S64" s="18" t="s">
        <v>81</v>
      </c>
      <c r="T64" s="18" t="s">
        <v>39</v>
      </c>
      <c r="U64" s="18" t="s">
        <v>40</v>
      </c>
      <c r="V64" s="18" t="s">
        <v>41</v>
      </c>
    </row>
    <row r="65" ht="15.75" customHeight="1">
      <c r="A65" s="18">
        <v>1.0</v>
      </c>
      <c r="D65" s="18" t="s">
        <v>509</v>
      </c>
      <c r="E65" s="18">
        <f t="shared" si="2"/>
        <v>31.69383413</v>
      </c>
      <c r="F65" s="21" t="s">
        <v>804</v>
      </c>
      <c r="G65" s="18" t="s">
        <v>511</v>
      </c>
      <c r="H65" s="18" t="s">
        <v>46</v>
      </c>
      <c r="I65" s="18" t="s">
        <v>33</v>
      </c>
      <c r="J65" s="18" t="s">
        <v>47</v>
      </c>
      <c r="K65" s="18" t="s">
        <v>48</v>
      </c>
      <c r="L65" s="18" t="s">
        <v>49</v>
      </c>
      <c r="M65" s="18" t="s">
        <v>512</v>
      </c>
      <c r="O65" s="18">
        <v>8081.09</v>
      </c>
      <c r="P65" s="18">
        <v>1.0</v>
      </c>
      <c r="Q65" s="18">
        <v>8.4516891E7</v>
      </c>
      <c r="R65" s="18">
        <v>2.53550673E10</v>
      </c>
      <c r="S65" s="18" t="s">
        <v>513</v>
      </c>
      <c r="T65" s="18" t="s">
        <v>39</v>
      </c>
      <c r="U65" s="18" t="s">
        <v>40</v>
      </c>
      <c r="V65" s="18" t="s">
        <v>52</v>
      </c>
    </row>
    <row r="66" ht="15.75" customHeight="1">
      <c r="A66" s="18">
        <v>1.0</v>
      </c>
      <c r="D66" s="18" t="s">
        <v>496</v>
      </c>
      <c r="E66" s="18">
        <f t="shared" si="2"/>
        <v>38.01616088</v>
      </c>
      <c r="F66" s="21" t="s">
        <v>805</v>
      </c>
      <c r="G66" s="18" t="s">
        <v>498</v>
      </c>
      <c r="H66" s="18" t="s">
        <v>46</v>
      </c>
      <c r="I66" s="18" t="s">
        <v>33</v>
      </c>
      <c r="J66" s="18" t="s">
        <v>47</v>
      </c>
      <c r="K66" s="18" t="s">
        <v>48</v>
      </c>
      <c r="L66" s="18" t="s">
        <v>49</v>
      </c>
      <c r="M66" s="18" t="s">
        <v>499</v>
      </c>
      <c r="O66" s="18">
        <v>9462.76</v>
      </c>
      <c r="P66" s="18">
        <v>1.0</v>
      </c>
      <c r="Q66" s="18">
        <v>1.01376429E8</v>
      </c>
      <c r="R66" s="18">
        <v>3.04129287E10</v>
      </c>
      <c r="S66" s="18" t="s">
        <v>500</v>
      </c>
      <c r="T66" s="18" t="s">
        <v>39</v>
      </c>
      <c r="U66" s="18" t="s">
        <v>40</v>
      </c>
      <c r="V66" s="18" t="s">
        <v>52</v>
      </c>
    </row>
    <row r="67" ht="15.75" customHeight="1">
      <c r="D67" s="18" t="s">
        <v>28</v>
      </c>
      <c r="E67" s="18">
        <f t="shared" si="2"/>
        <v>97.14596813</v>
      </c>
      <c r="G67" s="18" t="s">
        <v>806</v>
      </c>
      <c r="H67" s="18" t="s">
        <v>807</v>
      </c>
      <c r="I67" s="18" t="s">
        <v>33</v>
      </c>
      <c r="J67" s="18" t="s">
        <v>808</v>
      </c>
      <c r="K67" s="18" t="s">
        <v>809</v>
      </c>
      <c r="L67" s="18" t="s">
        <v>810</v>
      </c>
      <c r="M67" s="18" t="s">
        <v>811</v>
      </c>
      <c r="O67" s="18">
        <v>24323.85</v>
      </c>
      <c r="P67" s="18">
        <v>1.0</v>
      </c>
      <c r="Q67" s="18">
        <v>2.59055915E8</v>
      </c>
      <c r="R67" s="18">
        <v>7.77167745E10</v>
      </c>
      <c r="S67" s="18" t="s">
        <v>812</v>
      </c>
      <c r="T67" s="18" t="s">
        <v>39</v>
      </c>
      <c r="U67" s="18" t="s">
        <v>40</v>
      </c>
      <c r="V67" s="18" t="s">
        <v>52</v>
      </c>
    </row>
    <row r="68" ht="15.75" customHeight="1">
      <c r="D68" s="18" t="s">
        <v>28</v>
      </c>
      <c r="E68" s="18">
        <f t="shared" si="2"/>
        <v>51.33543075</v>
      </c>
      <c r="G68" s="18" t="s">
        <v>813</v>
      </c>
      <c r="H68" s="18" t="s">
        <v>32</v>
      </c>
      <c r="I68" s="18" t="s">
        <v>33</v>
      </c>
      <c r="J68" s="18" t="s">
        <v>34</v>
      </c>
      <c r="K68" s="18" t="s">
        <v>35</v>
      </c>
      <c r="L68" s="18" t="s">
        <v>36</v>
      </c>
      <c r="M68" s="18" t="s">
        <v>814</v>
      </c>
      <c r="O68" s="18">
        <v>15867.27</v>
      </c>
      <c r="P68" s="18">
        <v>1.0</v>
      </c>
      <c r="Q68" s="18">
        <v>1.36894482E8</v>
      </c>
      <c r="R68" s="18">
        <v>4.10683446E10</v>
      </c>
      <c r="S68" s="18" t="s">
        <v>815</v>
      </c>
      <c r="T68" s="18" t="s">
        <v>39</v>
      </c>
      <c r="U68" s="18" t="s">
        <v>40</v>
      </c>
      <c r="V68" s="18" t="s">
        <v>41</v>
      </c>
    </row>
    <row r="69" ht="15.75" customHeight="1">
      <c r="B69" s="40">
        <v>1.0</v>
      </c>
      <c r="D69" s="18" t="s">
        <v>28</v>
      </c>
      <c r="E69" s="18">
        <f t="shared" si="2"/>
        <v>40.02340013</v>
      </c>
      <c r="G69" s="18" t="s">
        <v>816</v>
      </c>
      <c r="H69" s="18" t="s">
        <v>32</v>
      </c>
      <c r="I69" s="18" t="s">
        <v>33</v>
      </c>
      <c r="J69" s="18" t="s">
        <v>34</v>
      </c>
      <c r="K69" s="18" t="s">
        <v>35</v>
      </c>
      <c r="L69" s="18" t="s">
        <v>36</v>
      </c>
      <c r="M69" s="18" t="s">
        <v>817</v>
      </c>
      <c r="O69" s="18">
        <v>12559.86</v>
      </c>
      <c r="P69" s="18">
        <v>1.0</v>
      </c>
      <c r="Q69" s="18">
        <v>1.06729067E8</v>
      </c>
      <c r="R69" s="18">
        <v>3.20187201E10</v>
      </c>
      <c r="S69" s="18" t="s">
        <v>818</v>
      </c>
      <c r="T69" s="18" t="s">
        <v>39</v>
      </c>
      <c r="U69" s="18" t="s">
        <v>40</v>
      </c>
      <c r="V69" s="18" t="s">
        <v>41</v>
      </c>
    </row>
    <row r="70" ht="15.75" customHeight="1">
      <c r="D70" s="18" t="s">
        <v>28</v>
      </c>
      <c r="E70" s="18">
        <f t="shared" si="2"/>
        <v>40.02340013</v>
      </c>
      <c r="G70" s="18" t="s">
        <v>819</v>
      </c>
      <c r="H70" s="18" t="s">
        <v>46</v>
      </c>
      <c r="I70" s="18" t="s">
        <v>33</v>
      </c>
      <c r="J70" s="18" t="s">
        <v>47</v>
      </c>
      <c r="K70" s="18" t="s">
        <v>48</v>
      </c>
      <c r="L70" s="18" t="s">
        <v>49</v>
      </c>
      <c r="M70" s="18" t="s">
        <v>820</v>
      </c>
      <c r="O70" s="18">
        <v>12559.86</v>
      </c>
      <c r="P70" s="18">
        <v>1.0</v>
      </c>
      <c r="Q70" s="18">
        <v>1.06729067E8</v>
      </c>
      <c r="R70" s="18">
        <v>3.20187201E10</v>
      </c>
      <c r="S70" s="18" t="s">
        <v>821</v>
      </c>
      <c r="T70" s="18" t="s">
        <v>39</v>
      </c>
      <c r="U70" s="18" t="s">
        <v>40</v>
      </c>
      <c r="V70" s="18" t="s">
        <v>52</v>
      </c>
    </row>
    <row r="71" ht="15.75" customHeight="1">
      <c r="D71" s="18" t="s">
        <v>28</v>
      </c>
      <c r="E71" s="18">
        <f t="shared" si="2"/>
        <v>39.01745625</v>
      </c>
      <c r="G71" s="18" t="s">
        <v>822</v>
      </c>
      <c r="H71" s="18" t="s">
        <v>32</v>
      </c>
      <c r="I71" s="18" t="s">
        <v>33</v>
      </c>
      <c r="J71" s="18" t="s">
        <v>34</v>
      </c>
      <c r="K71" s="18" t="s">
        <v>35</v>
      </c>
      <c r="L71" s="18" t="s">
        <v>36</v>
      </c>
      <c r="M71" s="18" t="s">
        <v>823</v>
      </c>
      <c r="O71" s="18">
        <v>12112.47</v>
      </c>
      <c r="P71" s="18">
        <v>1.0</v>
      </c>
      <c r="Q71" s="18">
        <v>1.0404655E8</v>
      </c>
      <c r="R71" s="18">
        <v>3.1213965E10</v>
      </c>
      <c r="S71" s="18" t="s">
        <v>824</v>
      </c>
      <c r="T71" s="18" t="s">
        <v>39</v>
      </c>
      <c r="U71" s="18" t="s">
        <v>40</v>
      </c>
      <c r="V71" s="18" t="s">
        <v>41</v>
      </c>
    </row>
    <row r="72" ht="15.75" customHeight="1">
      <c r="D72" s="18" t="s">
        <v>28</v>
      </c>
      <c r="E72" s="18">
        <f t="shared" si="2"/>
        <v>38.8891635</v>
      </c>
      <c r="G72" s="18" t="s">
        <v>825</v>
      </c>
      <c r="H72" s="18" t="s">
        <v>32</v>
      </c>
      <c r="I72" s="18" t="s">
        <v>33</v>
      </c>
      <c r="J72" s="18" t="s">
        <v>34</v>
      </c>
      <c r="K72" s="18" t="s">
        <v>35</v>
      </c>
      <c r="L72" s="18" t="s">
        <v>36</v>
      </c>
      <c r="M72" s="18" t="s">
        <v>826</v>
      </c>
      <c r="O72" s="18">
        <v>12108.75</v>
      </c>
      <c r="P72" s="18">
        <v>1.0</v>
      </c>
      <c r="Q72" s="18">
        <v>1.03704436E8</v>
      </c>
      <c r="R72" s="18">
        <v>3.11113308E10</v>
      </c>
      <c r="S72" s="18" t="s">
        <v>827</v>
      </c>
      <c r="T72" s="18" t="s">
        <v>39</v>
      </c>
      <c r="U72" s="18" t="s">
        <v>40</v>
      </c>
      <c r="V72" s="18" t="s">
        <v>41</v>
      </c>
    </row>
    <row r="73" ht="15.75" customHeight="1">
      <c r="D73" s="18" t="s">
        <v>28</v>
      </c>
      <c r="E73" s="18">
        <f t="shared" si="2"/>
        <v>37.11077663</v>
      </c>
      <c r="G73" s="18" t="s">
        <v>828</v>
      </c>
      <c r="H73" s="18" t="s">
        <v>32</v>
      </c>
      <c r="I73" s="18" t="s">
        <v>33</v>
      </c>
      <c r="J73" s="18" t="s">
        <v>34</v>
      </c>
      <c r="K73" s="18" t="s">
        <v>35</v>
      </c>
      <c r="L73" s="18" t="s">
        <v>36</v>
      </c>
      <c r="M73" s="18" t="s">
        <v>829</v>
      </c>
      <c r="O73" s="18">
        <v>12269.34</v>
      </c>
      <c r="P73" s="18">
        <v>1.0</v>
      </c>
      <c r="Q73" s="18">
        <v>9.8962071E7</v>
      </c>
      <c r="R73" s="18">
        <v>2.96886213E10</v>
      </c>
      <c r="S73" s="18" t="s">
        <v>830</v>
      </c>
      <c r="T73" s="18" t="s">
        <v>39</v>
      </c>
      <c r="U73" s="18" t="s">
        <v>40</v>
      </c>
      <c r="V73" s="18" t="s">
        <v>41</v>
      </c>
    </row>
    <row r="74" ht="15.75" customHeight="1">
      <c r="D74" s="18" t="s">
        <v>28</v>
      </c>
      <c r="E74" s="18">
        <f t="shared" si="2"/>
        <v>36.014646</v>
      </c>
      <c r="G74" s="18" t="s">
        <v>831</v>
      </c>
      <c r="H74" s="18" t="s">
        <v>32</v>
      </c>
      <c r="I74" s="18" t="s">
        <v>33</v>
      </c>
      <c r="J74" s="18" t="s">
        <v>34</v>
      </c>
      <c r="K74" s="18" t="s">
        <v>35</v>
      </c>
      <c r="L74" s="18" t="s">
        <v>36</v>
      </c>
      <c r="M74" s="18" t="s">
        <v>832</v>
      </c>
      <c r="O74" s="18">
        <v>12502.65</v>
      </c>
      <c r="P74" s="18">
        <v>1.0</v>
      </c>
      <c r="Q74" s="18">
        <v>9.6039056E7</v>
      </c>
      <c r="R74" s="18">
        <v>2.88117168E10</v>
      </c>
      <c r="S74" s="18" t="s">
        <v>833</v>
      </c>
      <c r="T74" s="18" t="s">
        <v>39</v>
      </c>
      <c r="U74" s="18" t="s">
        <v>40</v>
      </c>
      <c r="V74" s="18" t="s">
        <v>41</v>
      </c>
    </row>
    <row r="75" ht="15.75" customHeight="1">
      <c r="C75" s="40"/>
      <c r="D75" s="18" t="s">
        <v>363</v>
      </c>
      <c r="E75" s="18">
        <f t="shared" si="2"/>
        <v>39.56881725</v>
      </c>
      <c r="G75" s="18" t="s">
        <v>834</v>
      </c>
      <c r="H75" s="18" t="s">
        <v>46</v>
      </c>
      <c r="I75" s="18" t="s">
        <v>33</v>
      </c>
      <c r="J75" s="18" t="s">
        <v>47</v>
      </c>
      <c r="K75" s="18" t="s">
        <v>48</v>
      </c>
      <c r="L75" s="18" t="s">
        <v>49</v>
      </c>
      <c r="M75" s="18" t="s">
        <v>835</v>
      </c>
      <c r="O75" s="18">
        <v>10152.79</v>
      </c>
      <c r="P75" s="18">
        <v>1.0</v>
      </c>
      <c r="Q75" s="18">
        <v>1.05516846E8</v>
      </c>
      <c r="R75" s="18">
        <v>3.16550538E10</v>
      </c>
      <c r="S75" s="18" t="s">
        <v>836</v>
      </c>
      <c r="T75" s="18" t="s">
        <v>39</v>
      </c>
      <c r="U75" s="18" t="s">
        <v>40</v>
      </c>
      <c r="V75" s="18" t="s">
        <v>52</v>
      </c>
    </row>
    <row r="76" ht="15.75" customHeight="1">
      <c r="C76" s="40"/>
      <c r="D76" s="18" t="s">
        <v>363</v>
      </c>
      <c r="E76" s="18">
        <f t="shared" si="2"/>
        <v>38.36927813</v>
      </c>
      <c r="G76" s="18" t="s">
        <v>837</v>
      </c>
      <c r="H76" s="18" t="s">
        <v>46</v>
      </c>
      <c r="I76" s="18" t="s">
        <v>33</v>
      </c>
      <c r="J76" s="18" t="s">
        <v>47</v>
      </c>
      <c r="K76" s="18" t="s">
        <v>48</v>
      </c>
      <c r="L76" s="18" t="s">
        <v>49</v>
      </c>
      <c r="M76" s="18" t="s">
        <v>838</v>
      </c>
      <c r="O76" s="18">
        <v>9653.87</v>
      </c>
      <c r="P76" s="18">
        <v>1.0</v>
      </c>
      <c r="Q76" s="18">
        <v>1.02318075E8</v>
      </c>
      <c r="R76" s="18">
        <v>3.06954225E10</v>
      </c>
      <c r="S76" s="18" t="s">
        <v>839</v>
      </c>
      <c r="T76" s="18" t="s">
        <v>39</v>
      </c>
      <c r="U76" s="18" t="s">
        <v>40</v>
      </c>
      <c r="V76" s="18" t="s">
        <v>52</v>
      </c>
    </row>
    <row r="77" ht="15.75" customHeight="1">
      <c r="C77" s="40"/>
      <c r="D77" s="18" t="s">
        <v>363</v>
      </c>
      <c r="E77" s="18">
        <f t="shared" si="2"/>
        <v>37.30256915</v>
      </c>
      <c r="G77" s="18" t="s">
        <v>840</v>
      </c>
      <c r="H77" s="18" t="s">
        <v>841</v>
      </c>
      <c r="I77" s="18" t="s">
        <v>427</v>
      </c>
      <c r="J77" s="18" t="s">
        <v>842</v>
      </c>
      <c r="K77" s="18" t="s">
        <v>843</v>
      </c>
      <c r="L77" s="18" t="s">
        <v>844</v>
      </c>
      <c r="M77" s="18" t="s">
        <v>845</v>
      </c>
      <c r="O77" s="18">
        <v>11086.15</v>
      </c>
      <c r="P77" s="18">
        <v>1.0</v>
      </c>
      <c r="Q77" s="18">
        <v>1.00363035E8</v>
      </c>
      <c r="R77" s="18">
        <v>2.9842055321E10</v>
      </c>
      <c r="S77" s="18" t="s">
        <v>846</v>
      </c>
      <c r="T77" s="18" t="s">
        <v>39</v>
      </c>
      <c r="U77" s="18" t="s">
        <v>40</v>
      </c>
      <c r="V77" s="18" t="s">
        <v>41</v>
      </c>
    </row>
    <row r="78" ht="15.75" customHeight="1">
      <c r="C78" s="40"/>
      <c r="D78" s="18" t="s">
        <v>363</v>
      </c>
      <c r="E78" s="18">
        <f t="shared" si="2"/>
        <v>27.98630218</v>
      </c>
      <c r="G78" s="18" t="s">
        <v>847</v>
      </c>
      <c r="H78" s="18" t="s">
        <v>848</v>
      </c>
      <c r="I78" s="18" t="s">
        <v>427</v>
      </c>
      <c r="J78" s="18" t="s">
        <v>842</v>
      </c>
      <c r="K78" s="18" t="s">
        <v>843</v>
      </c>
      <c r="L78" s="18" t="s">
        <v>844</v>
      </c>
      <c r="M78" s="18" t="s">
        <v>849</v>
      </c>
      <c r="O78" s="18">
        <v>8361.55</v>
      </c>
      <c r="P78" s="18">
        <v>1.0</v>
      </c>
      <c r="Q78" s="18">
        <v>7.53918E7</v>
      </c>
      <c r="R78" s="18">
        <v>2.2389041743E10</v>
      </c>
      <c r="S78" s="18" t="s">
        <v>850</v>
      </c>
      <c r="T78" s="18" t="s">
        <v>39</v>
      </c>
      <c r="U78" s="18" t="s">
        <v>40</v>
      </c>
      <c r="V78" s="18" t="s">
        <v>41</v>
      </c>
    </row>
    <row r="79" ht="15.75" customHeight="1">
      <c r="C79" s="40"/>
      <c r="D79" s="18" t="s">
        <v>363</v>
      </c>
      <c r="E79" s="18">
        <f t="shared" si="2"/>
        <v>25.8650397</v>
      </c>
      <c r="G79" s="18" t="s">
        <v>851</v>
      </c>
      <c r="H79" s="18" t="s">
        <v>848</v>
      </c>
      <c r="I79" s="18" t="s">
        <v>427</v>
      </c>
      <c r="J79" s="18" t="s">
        <v>842</v>
      </c>
      <c r="K79" s="18" t="s">
        <v>843</v>
      </c>
      <c r="L79" s="18" t="s">
        <v>844</v>
      </c>
      <c r="M79" s="18" t="s">
        <v>852</v>
      </c>
      <c r="O79" s="18">
        <v>7688.99</v>
      </c>
      <c r="P79" s="18">
        <v>1.0</v>
      </c>
      <c r="Q79" s="18">
        <v>6.9510608E7</v>
      </c>
      <c r="R79" s="18">
        <v>2.0692031761E10</v>
      </c>
      <c r="S79" s="18" t="s">
        <v>853</v>
      </c>
      <c r="T79" s="18" t="s">
        <v>39</v>
      </c>
      <c r="U79" s="18" t="s">
        <v>40</v>
      </c>
      <c r="V79" s="18" t="s">
        <v>41</v>
      </c>
    </row>
    <row r="80" ht="15.75" customHeight="1">
      <c r="C80" s="40"/>
      <c r="D80" s="18" t="s">
        <v>363</v>
      </c>
      <c r="E80" s="18">
        <f t="shared" si="2"/>
        <v>23.69792527</v>
      </c>
      <c r="G80" s="18" t="s">
        <v>854</v>
      </c>
      <c r="H80" s="18" t="s">
        <v>848</v>
      </c>
      <c r="I80" s="18" t="s">
        <v>427</v>
      </c>
      <c r="J80" s="18" t="s">
        <v>842</v>
      </c>
      <c r="K80" s="18" t="s">
        <v>843</v>
      </c>
      <c r="L80" s="18" t="s">
        <v>844</v>
      </c>
      <c r="M80" s="18" t="s">
        <v>855</v>
      </c>
      <c r="O80" s="18">
        <v>7117.6</v>
      </c>
      <c r="P80" s="18">
        <v>1.0</v>
      </c>
      <c r="Q80" s="18">
        <v>6.3625269E7</v>
      </c>
      <c r="R80" s="18">
        <v>1.8958340212E10</v>
      </c>
      <c r="S80" s="18" t="s">
        <v>856</v>
      </c>
      <c r="T80" s="18" t="s">
        <v>39</v>
      </c>
      <c r="U80" s="18" t="s">
        <v>40</v>
      </c>
      <c r="V80" s="18" t="s">
        <v>41</v>
      </c>
    </row>
    <row r="81" ht="15.75" customHeight="1">
      <c r="C81" s="40"/>
      <c r="D81" s="18" t="s">
        <v>363</v>
      </c>
      <c r="E81" s="18">
        <f t="shared" si="2"/>
        <v>20.79409305</v>
      </c>
      <c r="G81" s="18" t="s">
        <v>857</v>
      </c>
      <c r="H81" s="18" t="s">
        <v>848</v>
      </c>
      <c r="I81" s="18" t="s">
        <v>427</v>
      </c>
      <c r="J81" s="18" t="s">
        <v>842</v>
      </c>
      <c r="K81" s="18" t="s">
        <v>843</v>
      </c>
      <c r="L81" s="18" t="s">
        <v>844</v>
      </c>
      <c r="M81" s="18" t="s">
        <v>858</v>
      </c>
      <c r="O81" s="18">
        <v>6188.9</v>
      </c>
      <c r="P81" s="18">
        <v>1.0</v>
      </c>
      <c r="Q81" s="18">
        <v>5.5949616E7</v>
      </c>
      <c r="R81" s="18">
        <v>1.6635274441E10</v>
      </c>
      <c r="S81" s="18" t="s">
        <v>859</v>
      </c>
      <c r="T81" s="18" t="s">
        <v>39</v>
      </c>
      <c r="U81" s="18" t="s">
        <v>40</v>
      </c>
      <c r="V81" s="18" t="s">
        <v>41</v>
      </c>
    </row>
    <row r="82" ht="15.75" customHeight="1">
      <c r="C82" s="40"/>
      <c r="D82" s="18" t="s">
        <v>363</v>
      </c>
      <c r="E82" s="18">
        <f t="shared" si="2"/>
        <v>20.30963684</v>
      </c>
      <c r="G82" s="18" t="s">
        <v>860</v>
      </c>
      <c r="H82" s="18" t="s">
        <v>848</v>
      </c>
      <c r="I82" s="18" t="s">
        <v>427</v>
      </c>
      <c r="J82" s="18" t="s">
        <v>842</v>
      </c>
      <c r="K82" s="18" t="s">
        <v>843</v>
      </c>
      <c r="L82" s="18" t="s">
        <v>844</v>
      </c>
      <c r="M82" s="18" t="s">
        <v>861</v>
      </c>
      <c r="O82" s="18">
        <v>6091.83</v>
      </c>
      <c r="P82" s="18">
        <v>1.0</v>
      </c>
      <c r="Q82" s="18">
        <v>5.4593807E7</v>
      </c>
      <c r="R82" s="18">
        <v>1.6247709471E10</v>
      </c>
      <c r="S82" s="18" t="s">
        <v>862</v>
      </c>
      <c r="T82" s="18" t="s">
        <v>39</v>
      </c>
      <c r="U82" s="18" t="s">
        <v>40</v>
      </c>
      <c r="V82" s="18" t="s">
        <v>41</v>
      </c>
    </row>
    <row r="83" ht="15.75" customHeight="1">
      <c r="C83" s="40"/>
      <c r="D83" s="18" t="s">
        <v>363</v>
      </c>
      <c r="E83" s="18">
        <f t="shared" si="2"/>
        <v>19.68506594</v>
      </c>
      <c r="G83" s="18" t="s">
        <v>863</v>
      </c>
      <c r="H83" s="18" t="s">
        <v>848</v>
      </c>
      <c r="I83" s="18" t="s">
        <v>427</v>
      </c>
      <c r="J83" s="18" t="s">
        <v>842</v>
      </c>
      <c r="K83" s="18" t="s">
        <v>843</v>
      </c>
      <c r="L83" s="18" t="s">
        <v>844</v>
      </c>
      <c r="M83" s="18" t="s">
        <v>864</v>
      </c>
      <c r="O83" s="18">
        <v>5906.61</v>
      </c>
      <c r="P83" s="18">
        <v>1.0</v>
      </c>
      <c r="Q83" s="18">
        <v>5.291203E7</v>
      </c>
      <c r="R83" s="18">
        <v>1.5748052755E10</v>
      </c>
      <c r="S83" s="18" t="s">
        <v>865</v>
      </c>
      <c r="T83" s="18" t="s">
        <v>39</v>
      </c>
      <c r="U83" s="18" t="s">
        <v>40</v>
      </c>
      <c r="V83" s="18" t="s">
        <v>41</v>
      </c>
    </row>
    <row r="84" ht="15.75" customHeight="1">
      <c r="C84" s="40"/>
      <c r="D84" s="18" t="s">
        <v>363</v>
      </c>
      <c r="E84" s="18">
        <f t="shared" si="2"/>
        <v>18.43717972</v>
      </c>
      <c r="G84" s="18" t="s">
        <v>866</v>
      </c>
      <c r="H84" s="18" t="s">
        <v>848</v>
      </c>
      <c r="I84" s="18" t="s">
        <v>427</v>
      </c>
      <c r="J84" s="18" t="s">
        <v>842</v>
      </c>
      <c r="K84" s="18" t="s">
        <v>843</v>
      </c>
      <c r="L84" s="18" t="s">
        <v>844</v>
      </c>
      <c r="M84" s="18" t="s">
        <v>867</v>
      </c>
      <c r="O84" s="18">
        <v>5453.6</v>
      </c>
      <c r="P84" s="18">
        <v>1.0</v>
      </c>
      <c r="Q84" s="18">
        <v>4.9548851E7</v>
      </c>
      <c r="R84" s="18">
        <v>1.4749743773E10</v>
      </c>
      <c r="S84" s="18" t="s">
        <v>868</v>
      </c>
      <c r="T84" s="18" t="s">
        <v>39</v>
      </c>
      <c r="U84" s="18" t="s">
        <v>40</v>
      </c>
      <c r="V84" s="18" t="s">
        <v>41</v>
      </c>
    </row>
    <row r="85" ht="15.75" customHeight="1">
      <c r="C85" s="40"/>
      <c r="D85" s="18" t="s">
        <v>363</v>
      </c>
      <c r="E85" s="18">
        <f t="shared" si="2"/>
        <v>16.64605568</v>
      </c>
      <c r="G85" s="18" t="s">
        <v>869</v>
      </c>
      <c r="H85" s="18" t="s">
        <v>848</v>
      </c>
      <c r="I85" s="18" t="s">
        <v>427</v>
      </c>
      <c r="J85" s="18" t="s">
        <v>842</v>
      </c>
      <c r="K85" s="18" t="s">
        <v>843</v>
      </c>
      <c r="L85" s="18" t="s">
        <v>844</v>
      </c>
      <c r="M85" s="18" t="s">
        <v>870</v>
      </c>
      <c r="O85" s="18">
        <v>5003.04</v>
      </c>
      <c r="P85" s="18">
        <v>1.0</v>
      </c>
      <c r="Q85" s="18">
        <v>4.4751878E7</v>
      </c>
      <c r="R85" s="18">
        <v>1.3316844545E10</v>
      </c>
      <c r="S85" s="18" t="s">
        <v>871</v>
      </c>
      <c r="T85" s="18" t="s">
        <v>39</v>
      </c>
      <c r="U85" s="18" t="s">
        <v>40</v>
      </c>
      <c r="V85" s="18" t="s">
        <v>41</v>
      </c>
    </row>
    <row r="86" ht="15.75" customHeight="1">
      <c r="C86" s="40"/>
      <c r="D86" s="18" t="s">
        <v>363</v>
      </c>
      <c r="E86" s="18">
        <f t="shared" si="2"/>
        <v>16.31304844</v>
      </c>
      <c r="G86" s="18" t="s">
        <v>872</v>
      </c>
      <c r="H86" s="18" t="s">
        <v>848</v>
      </c>
      <c r="I86" s="18" t="s">
        <v>427</v>
      </c>
      <c r="J86" s="18" t="s">
        <v>842</v>
      </c>
      <c r="K86" s="18" t="s">
        <v>843</v>
      </c>
      <c r="L86" s="18" t="s">
        <v>844</v>
      </c>
      <c r="M86" s="18" t="s">
        <v>873</v>
      </c>
      <c r="O86" s="18">
        <v>4960.29</v>
      </c>
      <c r="P86" s="18">
        <v>1.0</v>
      </c>
      <c r="Q86" s="18">
        <v>4.3891643E7</v>
      </c>
      <c r="R86" s="18">
        <v>1.305043875E10</v>
      </c>
      <c r="S86" s="18" t="s">
        <v>874</v>
      </c>
      <c r="T86" s="18" t="s">
        <v>39</v>
      </c>
      <c r="U86" s="18" t="s">
        <v>40</v>
      </c>
      <c r="V86" s="18" t="s">
        <v>41</v>
      </c>
    </row>
    <row r="87" ht="15.75" customHeight="1">
      <c r="C87" s="40">
        <v>1.0</v>
      </c>
      <c r="D87" s="59" t="s">
        <v>363</v>
      </c>
    </row>
    <row r="88" ht="15.75" customHeight="1">
      <c r="D88" s="18" t="s">
        <v>367</v>
      </c>
      <c r="E88" s="18">
        <f t="shared" ref="E88:E108" si="3">R88/800000000</f>
        <v>74.568507</v>
      </c>
      <c r="G88" s="18" t="s">
        <v>875</v>
      </c>
      <c r="H88" s="18" t="s">
        <v>367</v>
      </c>
      <c r="I88" s="18" t="s">
        <v>370</v>
      </c>
      <c r="J88" s="18" t="s">
        <v>371</v>
      </c>
      <c r="K88" s="18" t="s">
        <v>372</v>
      </c>
      <c r="L88" s="18" t="s">
        <v>373</v>
      </c>
      <c r="M88" s="18" t="s">
        <v>876</v>
      </c>
      <c r="O88" s="18">
        <v>36466.74</v>
      </c>
      <c r="P88" s="18">
        <v>1.0</v>
      </c>
      <c r="Q88" s="18">
        <v>1.98849352E8</v>
      </c>
      <c r="R88" s="18">
        <v>5.96548056E10</v>
      </c>
      <c r="S88" s="18" t="s">
        <v>877</v>
      </c>
      <c r="T88" s="18" t="s">
        <v>39</v>
      </c>
      <c r="U88" s="18" t="s">
        <v>40</v>
      </c>
      <c r="V88" s="18" t="s">
        <v>376</v>
      </c>
    </row>
    <row r="89" ht="15.75" customHeight="1">
      <c r="D89" s="18" t="s">
        <v>367</v>
      </c>
      <c r="E89" s="18">
        <f t="shared" si="3"/>
        <v>67.300065</v>
      </c>
      <c r="G89" s="18" t="s">
        <v>878</v>
      </c>
      <c r="H89" s="18" t="s">
        <v>367</v>
      </c>
      <c r="I89" s="18" t="s">
        <v>370</v>
      </c>
      <c r="J89" s="18" t="s">
        <v>371</v>
      </c>
      <c r="K89" s="18" t="s">
        <v>372</v>
      </c>
      <c r="L89" s="18" t="s">
        <v>373</v>
      </c>
      <c r="M89" s="18" t="s">
        <v>879</v>
      </c>
      <c r="O89" s="18">
        <v>28748.03</v>
      </c>
      <c r="P89" s="18">
        <v>1.0</v>
      </c>
      <c r="Q89" s="18">
        <v>1.7946684E8</v>
      </c>
      <c r="R89" s="18">
        <v>5.3840052E10</v>
      </c>
      <c r="S89" s="18" t="s">
        <v>880</v>
      </c>
      <c r="T89" s="18" t="s">
        <v>39</v>
      </c>
      <c r="U89" s="18" t="s">
        <v>40</v>
      </c>
      <c r="V89" s="18" t="s">
        <v>376</v>
      </c>
    </row>
    <row r="90" ht="15.75" customHeight="1">
      <c r="D90" s="18" t="s">
        <v>367</v>
      </c>
      <c r="E90" s="18">
        <f t="shared" si="3"/>
        <v>56.25746775</v>
      </c>
      <c r="G90" s="18" t="s">
        <v>881</v>
      </c>
      <c r="H90" s="18" t="s">
        <v>367</v>
      </c>
      <c r="I90" s="18" t="s">
        <v>370</v>
      </c>
      <c r="J90" s="18" t="s">
        <v>371</v>
      </c>
      <c r="K90" s="18" t="s">
        <v>372</v>
      </c>
      <c r="L90" s="18" t="s">
        <v>373</v>
      </c>
      <c r="M90" s="18" t="s">
        <v>882</v>
      </c>
      <c r="O90" s="18">
        <v>25222.54</v>
      </c>
      <c r="P90" s="18">
        <v>1.0</v>
      </c>
      <c r="Q90" s="18">
        <v>1.50019914E8</v>
      </c>
      <c r="R90" s="18">
        <v>4.50059742E10</v>
      </c>
      <c r="S90" s="18" t="s">
        <v>883</v>
      </c>
      <c r="T90" s="18" t="s">
        <v>39</v>
      </c>
      <c r="U90" s="18" t="s">
        <v>40</v>
      </c>
      <c r="V90" s="18" t="s">
        <v>376</v>
      </c>
    </row>
    <row r="91" ht="15.75" customHeight="1">
      <c r="D91" s="18" t="s">
        <v>367</v>
      </c>
      <c r="E91" s="18">
        <f t="shared" si="3"/>
        <v>54.71599088</v>
      </c>
      <c r="G91" s="18" t="s">
        <v>884</v>
      </c>
      <c r="H91" s="18" t="s">
        <v>367</v>
      </c>
      <c r="I91" s="18" t="s">
        <v>370</v>
      </c>
      <c r="J91" s="18" t="s">
        <v>371</v>
      </c>
      <c r="K91" s="18" t="s">
        <v>372</v>
      </c>
      <c r="L91" s="18" t="s">
        <v>373</v>
      </c>
      <c r="M91" s="18" t="s">
        <v>885</v>
      </c>
      <c r="O91" s="18">
        <v>25177.57</v>
      </c>
      <c r="P91" s="18">
        <v>1.0</v>
      </c>
      <c r="Q91" s="18">
        <v>1.45909309E8</v>
      </c>
      <c r="R91" s="18">
        <v>4.37727927E10</v>
      </c>
      <c r="S91" s="18" t="s">
        <v>886</v>
      </c>
      <c r="T91" s="18" t="s">
        <v>39</v>
      </c>
      <c r="U91" s="18" t="s">
        <v>40</v>
      </c>
      <c r="V91" s="18" t="s">
        <v>376</v>
      </c>
    </row>
    <row r="92" ht="15.75" customHeight="1">
      <c r="D92" s="18" t="s">
        <v>367</v>
      </c>
      <c r="E92" s="18">
        <f t="shared" si="3"/>
        <v>53.69583113</v>
      </c>
      <c r="G92" s="18" t="s">
        <v>887</v>
      </c>
      <c r="H92" s="18" t="s">
        <v>367</v>
      </c>
      <c r="I92" s="18" t="s">
        <v>370</v>
      </c>
      <c r="J92" s="18" t="s">
        <v>371</v>
      </c>
      <c r="K92" s="18" t="s">
        <v>372</v>
      </c>
      <c r="L92" s="18" t="s">
        <v>373</v>
      </c>
      <c r="M92" s="18" t="s">
        <v>888</v>
      </c>
      <c r="O92" s="18">
        <v>25423.22</v>
      </c>
      <c r="P92" s="18">
        <v>1.0</v>
      </c>
      <c r="Q92" s="18">
        <v>1.43188883E8</v>
      </c>
      <c r="R92" s="18">
        <v>4.29566649E10</v>
      </c>
      <c r="S92" s="18" t="s">
        <v>889</v>
      </c>
      <c r="T92" s="18" t="s">
        <v>39</v>
      </c>
      <c r="U92" s="18" t="s">
        <v>40</v>
      </c>
      <c r="V92" s="18" t="s">
        <v>376</v>
      </c>
    </row>
    <row r="93" ht="15.75" customHeight="1">
      <c r="D93" s="18" t="s">
        <v>367</v>
      </c>
      <c r="E93" s="18">
        <f t="shared" si="3"/>
        <v>52.50697163</v>
      </c>
      <c r="G93" s="18" t="s">
        <v>890</v>
      </c>
      <c r="H93" s="18" t="s">
        <v>367</v>
      </c>
      <c r="I93" s="18" t="s">
        <v>370</v>
      </c>
      <c r="J93" s="18" t="s">
        <v>371</v>
      </c>
      <c r="K93" s="18" t="s">
        <v>372</v>
      </c>
      <c r="L93" s="18" t="s">
        <v>373</v>
      </c>
      <c r="M93" s="18" t="s">
        <v>891</v>
      </c>
      <c r="O93" s="18">
        <v>24737.03</v>
      </c>
      <c r="P93" s="18">
        <v>1.0</v>
      </c>
      <c r="Q93" s="18">
        <v>1.40018591E8</v>
      </c>
      <c r="R93" s="18">
        <v>4.20055773E10</v>
      </c>
      <c r="S93" s="18" t="s">
        <v>892</v>
      </c>
      <c r="T93" s="18" t="s">
        <v>39</v>
      </c>
      <c r="U93" s="18" t="s">
        <v>40</v>
      </c>
      <c r="V93" s="18" t="s">
        <v>376</v>
      </c>
    </row>
    <row r="94" ht="15.75" customHeight="1">
      <c r="D94" s="18" t="s">
        <v>367</v>
      </c>
      <c r="E94" s="18">
        <f t="shared" si="3"/>
        <v>52.30828275</v>
      </c>
      <c r="G94" s="18" t="s">
        <v>893</v>
      </c>
      <c r="H94" s="18" t="s">
        <v>894</v>
      </c>
      <c r="I94" s="18" t="s">
        <v>370</v>
      </c>
      <c r="J94" s="18" t="s">
        <v>371</v>
      </c>
      <c r="K94" s="18" t="s">
        <v>372</v>
      </c>
      <c r="L94" s="18" t="s">
        <v>373</v>
      </c>
      <c r="M94" s="18" t="s">
        <v>895</v>
      </c>
      <c r="O94" s="18">
        <v>24344.15</v>
      </c>
      <c r="P94" s="18">
        <v>1.0</v>
      </c>
      <c r="Q94" s="18">
        <v>1.39488754E8</v>
      </c>
      <c r="R94" s="18">
        <v>4.18466262E10</v>
      </c>
      <c r="S94" s="18" t="s">
        <v>896</v>
      </c>
      <c r="T94" s="18" t="s">
        <v>39</v>
      </c>
      <c r="U94" s="18" t="s">
        <v>40</v>
      </c>
      <c r="V94" s="18" t="s">
        <v>376</v>
      </c>
    </row>
    <row r="95" ht="15.75" customHeight="1">
      <c r="D95" s="18" t="s">
        <v>367</v>
      </c>
      <c r="E95" s="18">
        <f t="shared" si="3"/>
        <v>52.18705538</v>
      </c>
      <c r="G95" s="18" t="s">
        <v>897</v>
      </c>
      <c r="H95" s="18" t="s">
        <v>367</v>
      </c>
      <c r="I95" s="18" t="s">
        <v>370</v>
      </c>
      <c r="J95" s="18" t="s">
        <v>371</v>
      </c>
      <c r="K95" s="18" t="s">
        <v>372</v>
      </c>
      <c r="L95" s="18" t="s">
        <v>373</v>
      </c>
      <c r="M95" s="18" t="s">
        <v>898</v>
      </c>
      <c r="O95" s="18">
        <v>23770.22</v>
      </c>
      <c r="P95" s="18">
        <v>1.0</v>
      </c>
      <c r="Q95" s="18">
        <v>1.39165481E8</v>
      </c>
      <c r="R95" s="18">
        <v>4.17496443E10</v>
      </c>
      <c r="S95" s="18" t="s">
        <v>899</v>
      </c>
      <c r="T95" s="18" t="s">
        <v>39</v>
      </c>
      <c r="U95" s="18" t="s">
        <v>40</v>
      </c>
      <c r="V95" s="18" t="s">
        <v>376</v>
      </c>
    </row>
    <row r="96" ht="15.75" customHeight="1">
      <c r="D96" s="18" t="s">
        <v>367</v>
      </c>
      <c r="E96" s="18">
        <f t="shared" si="3"/>
        <v>50.50519425</v>
      </c>
      <c r="G96" s="18" t="s">
        <v>900</v>
      </c>
      <c r="H96" s="18" t="s">
        <v>367</v>
      </c>
      <c r="I96" s="18" t="s">
        <v>370</v>
      </c>
      <c r="J96" s="18" t="s">
        <v>371</v>
      </c>
      <c r="K96" s="18" t="s">
        <v>372</v>
      </c>
      <c r="L96" s="18" t="s">
        <v>373</v>
      </c>
      <c r="M96" s="18" t="s">
        <v>901</v>
      </c>
      <c r="O96" s="18">
        <v>23343.28</v>
      </c>
      <c r="P96" s="18">
        <v>1.0</v>
      </c>
      <c r="Q96" s="18">
        <v>1.34680518E8</v>
      </c>
      <c r="R96" s="18">
        <v>4.04041554E10</v>
      </c>
      <c r="S96" s="18" t="s">
        <v>902</v>
      </c>
      <c r="T96" s="18" t="s">
        <v>39</v>
      </c>
      <c r="U96" s="18" t="s">
        <v>40</v>
      </c>
      <c r="V96" s="18" t="s">
        <v>376</v>
      </c>
    </row>
    <row r="97" ht="15.75" customHeight="1">
      <c r="D97" s="18" t="s">
        <v>367</v>
      </c>
      <c r="E97" s="18">
        <f t="shared" si="3"/>
        <v>49.19816813</v>
      </c>
      <c r="G97" s="18" t="s">
        <v>903</v>
      </c>
      <c r="H97" s="18" t="s">
        <v>367</v>
      </c>
      <c r="I97" s="18" t="s">
        <v>370</v>
      </c>
      <c r="J97" s="18" t="s">
        <v>371</v>
      </c>
      <c r="K97" s="18" t="s">
        <v>372</v>
      </c>
      <c r="L97" s="18" t="s">
        <v>373</v>
      </c>
      <c r="M97" s="18" t="s">
        <v>904</v>
      </c>
      <c r="O97" s="18">
        <v>24241.29</v>
      </c>
      <c r="P97" s="18">
        <v>1.0</v>
      </c>
      <c r="Q97" s="18">
        <v>1.31195115E8</v>
      </c>
      <c r="R97" s="18">
        <v>3.93585345E10</v>
      </c>
      <c r="S97" s="18" t="s">
        <v>905</v>
      </c>
      <c r="T97" s="18" t="s">
        <v>39</v>
      </c>
      <c r="U97" s="18" t="s">
        <v>40</v>
      </c>
      <c r="V97" s="18" t="s">
        <v>376</v>
      </c>
    </row>
    <row r="98" ht="15.75" customHeight="1">
      <c r="D98" s="18" t="s">
        <v>367</v>
      </c>
      <c r="E98" s="18">
        <f t="shared" si="3"/>
        <v>48.91641338</v>
      </c>
      <c r="G98" s="18" t="s">
        <v>906</v>
      </c>
      <c r="H98" s="18" t="s">
        <v>367</v>
      </c>
      <c r="I98" s="18" t="s">
        <v>370</v>
      </c>
      <c r="J98" s="18" t="s">
        <v>371</v>
      </c>
      <c r="K98" s="18" t="s">
        <v>372</v>
      </c>
      <c r="L98" s="18" t="s">
        <v>373</v>
      </c>
      <c r="M98" s="18" t="s">
        <v>907</v>
      </c>
      <c r="O98" s="18">
        <v>23680.57</v>
      </c>
      <c r="P98" s="18">
        <v>1.0</v>
      </c>
      <c r="Q98" s="18">
        <v>1.30443769E8</v>
      </c>
      <c r="R98" s="18">
        <v>3.91331307E10</v>
      </c>
      <c r="S98" s="18" t="s">
        <v>908</v>
      </c>
      <c r="T98" s="18" t="s">
        <v>39</v>
      </c>
      <c r="U98" s="18" t="s">
        <v>40</v>
      </c>
      <c r="V98" s="18" t="s">
        <v>376</v>
      </c>
    </row>
    <row r="99" ht="15.75" customHeight="1">
      <c r="D99" s="18" t="s">
        <v>367</v>
      </c>
      <c r="E99" s="18">
        <f t="shared" si="3"/>
        <v>48.88068863</v>
      </c>
      <c r="G99" s="18" t="s">
        <v>909</v>
      </c>
      <c r="H99" s="18" t="s">
        <v>894</v>
      </c>
      <c r="I99" s="18" t="s">
        <v>370</v>
      </c>
      <c r="J99" s="18" t="s">
        <v>371</v>
      </c>
      <c r="K99" s="18" t="s">
        <v>372</v>
      </c>
      <c r="L99" s="18" t="s">
        <v>373</v>
      </c>
      <c r="M99" s="18" t="s">
        <v>910</v>
      </c>
      <c r="O99" s="18">
        <v>23186.71</v>
      </c>
      <c r="P99" s="18">
        <v>1.0</v>
      </c>
      <c r="Q99" s="18">
        <v>1.30348503E8</v>
      </c>
      <c r="R99" s="18">
        <v>3.91045509E10</v>
      </c>
      <c r="S99" s="18" t="s">
        <v>911</v>
      </c>
      <c r="T99" s="18" t="s">
        <v>39</v>
      </c>
      <c r="U99" s="18" t="s">
        <v>40</v>
      </c>
      <c r="V99" s="18" t="s">
        <v>376</v>
      </c>
    </row>
    <row r="100" ht="15.75" customHeight="1">
      <c r="B100" s="40">
        <v>1.0</v>
      </c>
      <c r="D100" s="18" t="s">
        <v>367</v>
      </c>
      <c r="E100" s="18">
        <f t="shared" si="3"/>
        <v>48.82027313</v>
      </c>
      <c r="G100" s="18" t="s">
        <v>912</v>
      </c>
      <c r="H100" s="18" t="s">
        <v>894</v>
      </c>
      <c r="I100" s="18" t="s">
        <v>370</v>
      </c>
      <c r="J100" s="18" t="s">
        <v>371</v>
      </c>
      <c r="K100" s="18" t="s">
        <v>372</v>
      </c>
      <c r="L100" s="18" t="s">
        <v>373</v>
      </c>
      <c r="M100" s="18" t="s">
        <v>913</v>
      </c>
      <c r="O100" s="18">
        <v>24164.27</v>
      </c>
      <c r="P100" s="18">
        <v>1.0</v>
      </c>
      <c r="Q100" s="18">
        <v>1.30187395E8</v>
      </c>
      <c r="R100" s="18">
        <v>3.90562185E10</v>
      </c>
      <c r="S100" s="18" t="s">
        <v>914</v>
      </c>
      <c r="T100" s="18" t="s">
        <v>39</v>
      </c>
      <c r="U100" s="18" t="s">
        <v>40</v>
      </c>
      <c r="V100" s="18" t="s">
        <v>376</v>
      </c>
    </row>
    <row r="101" ht="15.75" customHeight="1">
      <c r="D101" s="18" t="s">
        <v>159</v>
      </c>
      <c r="E101" s="18">
        <f t="shared" si="3"/>
        <v>164.3644388</v>
      </c>
      <c r="G101" s="18" t="s">
        <v>915</v>
      </c>
      <c r="H101" s="18" t="s">
        <v>916</v>
      </c>
      <c r="I101" s="18" t="s">
        <v>427</v>
      </c>
      <c r="J101" s="18" t="s">
        <v>917</v>
      </c>
      <c r="K101" s="18" t="s">
        <v>918</v>
      </c>
      <c r="L101" s="18" t="s">
        <v>919</v>
      </c>
      <c r="M101" s="18" t="s">
        <v>920</v>
      </c>
      <c r="O101" s="18">
        <v>43277.29</v>
      </c>
      <c r="P101" s="18">
        <v>1.0</v>
      </c>
      <c r="Q101" s="18">
        <v>4.3830517E8</v>
      </c>
      <c r="R101" s="18">
        <v>1.31491551E11</v>
      </c>
      <c r="S101" s="18" t="s">
        <v>921</v>
      </c>
      <c r="T101" s="18" t="s">
        <v>39</v>
      </c>
      <c r="U101" s="18" t="s">
        <v>40</v>
      </c>
      <c r="V101" s="18" t="s">
        <v>41</v>
      </c>
    </row>
    <row r="102" ht="15.75" customHeight="1">
      <c r="B102" s="18">
        <v>1.0</v>
      </c>
      <c r="D102" s="18" t="s">
        <v>159</v>
      </c>
      <c r="E102" s="18">
        <f t="shared" si="3"/>
        <v>41.28997988</v>
      </c>
      <c r="G102" s="18" t="s">
        <v>922</v>
      </c>
      <c r="H102" s="18" t="s">
        <v>46</v>
      </c>
      <c r="I102" s="18" t="s">
        <v>33</v>
      </c>
      <c r="J102" s="18" t="s">
        <v>47</v>
      </c>
      <c r="K102" s="18" t="s">
        <v>48</v>
      </c>
      <c r="L102" s="18" t="s">
        <v>49</v>
      </c>
      <c r="M102" s="18" t="s">
        <v>923</v>
      </c>
      <c r="O102" s="18">
        <v>10813.91</v>
      </c>
      <c r="P102" s="18">
        <v>1.0</v>
      </c>
      <c r="Q102" s="18">
        <v>1.10106613E8</v>
      </c>
      <c r="R102" s="18">
        <v>3.30319839E10</v>
      </c>
      <c r="S102" s="18" t="s">
        <v>924</v>
      </c>
      <c r="T102" s="18" t="s">
        <v>39</v>
      </c>
      <c r="U102" s="18" t="s">
        <v>40</v>
      </c>
      <c r="V102" s="18" t="s">
        <v>52</v>
      </c>
    </row>
    <row r="103" ht="15.75" customHeight="1">
      <c r="D103" s="18" t="s">
        <v>159</v>
      </c>
      <c r="E103" s="18">
        <f t="shared" si="3"/>
        <v>17.78493713</v>
      </c>
      <c r="G103" s="18" t="s">
        <v>925</v>
      </c>
      <c r="H103" s="18" t="s">
        <v>926</v>
      </c>
      <c r="I103" s="18" t="s">
        <v>194</v>
      </c>
      <c r="J103" s="18" t="s">
        <v>195</v>
      </c>
      <c r="K103" s="18" t="s">
        <v>196</v>
      </c>
      <c r="L103" s="18" t="s">
        <v>197</v>
      </c>
      <c r="M103" s="18" t="s">
        <v>927</v>
      </c>
      <c r="O103" s="18">
        <v>5120.44</v>
      </c>
      <c r="P103" s="18">
        <v>1.0</v>
      </c>
      <c r="Q103" s="18">
        <v>4.7426499E7</v>
      </c>
      <c r="R103" s="18">
        <v>1.42279497E10</v>
      </c>
      <c r="S103" s="18" t="s">
        <v>928</v>
      </c>
      <c r="T103" s="18" t="s">
        <v>39</v>
      </c>
      <c r="U103" s="18" t="s">
        <v>40</v>
      </c>
      <c r="V103" s="18" t="s">
        <v>41</v>
      </c>
    </row>
    <row r="104" ht="15.75" customHeight="1">
      <c r="D104" s="18" t="s">
        <v>159</v>
      </c>
      <c r="E104" s="18">
        <f t="shared" si="3"/>
        <v>17.4854985</v>
      </c>
      <c r="G104" s="18" t="s">
        <v>929</v>
      </c>
      <c r="H104" s="18" t="s">
        <v>926</v>
      </c>
      <c r="I104" s="18" t="s">
        <v>194</v>
      </c>
      <c r="J104" s="18" t="s">
        <v>195</v>
      </c>
      <c r="K104" s="18" t="s">
        <v>196</v>
      </c>
      <c r="L104" s="18" t="s">
        <v>197</v>
      </c>
      <c r="M104" s="18" t="s">
        <v>930</v>
      </c>
      <c r="O104" s="18">
        <v>5209.7</v>
      </c>
      <c r="P104" s="18">
        <v>1.0</v>
      </c>
      <c r="Q104" s="18">
        <v>4.6627996E7</v>
      </c>
      <c r="R104" s="18">
        <v>1.39883988E10</v>
      </c>
      <c r="S104" s="18" t="s">
        <v>931</v>
      </c>
      <c r="T104" s="18" t="s">
        <v>39</v>
      </c>
      <c r="U104" s="18" t="s">
        <v>40</v>
      </c>
      <c r="V104" s="18" t="s">
        <v>41</v>
      </c>
    </row>
    <row r="105" ht="15.75" customHeight="1">
      <c r="D105" s="18" t="s">
        <v>159</v>
      </c>
      <c r="E105" s="18">
        <f t="shared" si="3"/>
        <v>17.48397713</v>
      </c>
      <c r="G105" s="18" t="s">
        <v>932</v>
      </c>
      <c r="H105" s="18" t="s">
        <v>926</v>
      </c>
      <c r="I105" s="18" t="s">
        <v>194</v>
      </c>
      <c r="J105" s="18" t="s">
        <v>195</v>
      </c>
      <c r="K105" s="18" t="s">
        <v>196</v>
      </c>
      <c r="L105" s="18" t="s">
        <v>197</v>
      </c>
      <c r="M105" s="18" t="s">
        <v>933</v>
      </c>
      <c r="O105" s="18">
        <v>5140.23</v>
      </c>
      <c r="P105" s="18">
        <v>1.0</v>
      </c>
      <c r="Q105" s="18">
        <v>4.6623939E7</v>
      </c>
      <c r="R105" s="18">
        <v>1.39871817E10</v>
      </c>
      <c r="S105" s="18" t="s">
        <v>934</v>
      </c>
      <c r="T105" s="18" t="s">
        <v>39</v>
      </c>
      <c r="U105" s="18" t="s">
        <v>40</v>
      </c>
      <c r="V105" s="18" t="s">
        <v>41</v>
      </c>
    </row>
    <row r="106" ht="15.75" customHeight="1">
      <c r="D106" s="18" t="s">
        <v>159</v>
      </c>
      <c r="E106" s="18">
        <f t="shared" si="3"/>
        <v>17.1676635</v>
      </c>
      <c r="G106" s="18" t="s">
        <v>935</v>
      </c>
      <c r="H106" s="18" t="s">
        <v>926</v>
      </c>
      <c r="I106" s="18" t="s">
        <v>194</v>
      </c>
      <c r="J106" s="18" t="s">
        <v>195</v>
      </c>
      <c r="K106" s="18" t="s">
        <v>196</v>
      </c>
      <c r="L106" s="18" t="s">
        <v>197</v>
      </c>
      <c r="M106" s="18" t="s">
        <v>936</v>
      </c>
      <c r="O106" s="18">
        <v>4842.15</v>
      </c>
      <c r="P106" s="18">
        <v>1.0</v>
      </c>
      <c r="Q106" s="18">
        <v>4.5780436E7</v>
      </c>
      <c r="R106" s="18">
        <v>1.37341308E10</v>
      </c>
      <c r="S106" s="18" t="s">
        <v>937</v>
      </c>
      <c r="T106" s="18" t="s">
        <v>39</v>
      </c>
      <c r="U106" s="18" t="s">
        <v>40</v>
      </c>
      <c r="V106" s="18" t="s">
        <v>41</v>
      </c>
    </row>
    <row r="107" ht="15.75" customHeight="1">
      <c r="C107" s="40"/>
      <c r="D107" s="18" t="s">
        <v>378</v>
      </c>
      <c r="E107" s="18">
        <f t="shared" si="3"/>
        <v>36.23193713</v>
      </c>
      <c r="G107" s="18" t="s">
        <v>938</v>
      </c>
      <c r="H107" s="18" t="s">
        <v>939</v>
      </c>
      <c r="I107" s="18" t="s">
        <v>194</v>
      </c>
      <c r="J107" s="18" t="s">
        <v>315</v>
      </c>
      <c r="K107" s="18" t="s">
        <v>940</v>
      </c>
      <c r="L107" s="18" t="s">
        <v>378</v>
      </c>
      <c r="M107" s="18" t="s">
        <v>941</v>
      </c>
      <c r="O107" s="18">
        <v>8943.13</v>
      </c>
      <c r="P107" s="18">
        <v>1.0</v>
      </c>
      <c r="Q107" s="18">
        <v>9.6618499E7</v>
      </c>
      <c r="R107" s="18">
        <v>2.89855497E10</v>
      </c>
      <c r="S107" s="18" t="s">
        <v>939</v>
      </c>
      <c r="T107" s="18" t="s">
        <v>39</v>
      </c>
      <c r="U107" s="18" t="s">
        <v>40</v>
      </c>
      <c r="V107" s="18" t="s">
        <v>41</v>
      </c>
    </row>
    <row r="108" ht="15.75" customHeight="1">
      <c r="C108" s="40"/>
      <c r="D108" s="18" t="s">
        <v>378</v>
      </c>
      <c r="E108" s="18">
        <f t="shared" si="3"/>
        <v>33.17944848</v>
      </c>
      <c r="G108" s="18" t="s">
        <v>942</v>
      </c>
      <c r="H108" s="18" t="s">
        <v>943</v>
      </c>
      <c r="I108" s="18" t="s">
        <v>427</v>
      </c>
      <c r="J108" s="18" t="s">
        <v>842</v>
      </c>
      <c r="K108" s="18" t="s">
        <v>843</v>
      </c>
      <c r="L108" s="18" t="s">
        <v>844</v>
      </c>
      <c r="M108" s="18" t="s">
        <v>944</v>
      </c>
      <c r="O108" s="18">
        <v>9825.13</v>
      </c>
      <c r="P108" s="18">
        <v>1.0</v>
      </c>
      <c r="Q108" s="18">
        <v>8.9276987E7</v>
      </c>
      <c r="R108" s="18">
        <v>2.6543558785E10</v>
      </c>
      <c r="S108" s="18" t="s">
        <v>945</v>
      </c>
      <c r="T108" s="18" t="s">
        <v>39</v>
      </c>
      <c r="U108" s="18" t="s">
        <v>40</v>
      </c>
      <c r="V108" s="18" t="s">
        <v>41</v>
      </c>
    </row>
    <row r="109" ht="15.75" customHeight="1">
      <c r="C109" s="40">
        <v>1.0</v>
      </c>
      <c r="D109" s="59" t="s">
        <v>378</v>
      </c>
    </row>
    <row r="110" ht="15.75" customHeight="1">
      <c r="D110" s="18" t="s">
        <v>54</v>
      </c>
      <c r="E110" s="18">
        <f t="shared" ref="E110:E126" si="4">R110/800000000</f>
        <v>46.00379513</v>
      </c>
      <c r="G110" s="18" t="s">
        <v>946</v>
      </c>
      <c r="H110" s="18" t="s">
        <v>46</v>
      </c>
      <c r="I110" s="18" t="s">
        <v>33</v>
      </c>
      <c r="J110" s="18" t="s">
        <v>47</v>
      </c>
      <c r="K110" s="18" t="s">
        <v>48</v>
      </c>
      <c r="L110" s="18" t="s">
        <v>49</v>
      </c>
      <c r="M110" s="18" t="s">
        <v>947</v>
      </c>
      <c r="O110" s="18">
        <v>11943.56</v>
      </c>
      <c r="P110" s="18">
        <v>1.0</v>
      </c>
      <c r="Q110" s="18">
        <v>1.22676787E8</v>
      </c>
      <c r="R110" s="18">
        <v>3.68030361E10</v>
      </c>
      <c r="S110" s="18" t="s">
        <v>948</v>
      </c>
      <c r="T110" s="18" t="s">
        <v>39</v>
      </c>
      <c r="U110" s="18" t="s">
        <v>40</v>
      </c>
      <c r="V110" s="18" t="s">
        <v>52</v>
      </c>
    </row>
    <row r="111" ht="15.75" customHeight="1">
      <c r="B111" s="18">
        <v>1.0</v>
      </c>
      <c r="D111" s="18" t="s">
        <v>54</v>
      </c>
      <c r="E111" s="18">
        <f t="shared" si="4"/>
        <v>44.63422988</v>
      </c>
      <c r="G111" s="18" t="s">
        <v>949</v>
      </c>
      <c r="H111" s="18" t="s">
        <v>46</v>
      </c>
      <c r="I111" s="18" t="s">
        <v>33</v>
      </c>
      <c r="J111" s="18" t="s">
        <v>47</v>
      </c>
      <c r="K111" s="18" t="s">
        <v>48</v>
      </c>
      <c r="L111" s="18" t="s">
        <v>49</v>
      </c>
      <c r="M111" s="18" t="s">
        <v>950</v>
      </c>
      <c r="O111" s="18">
        <v>11781.89</v>
      </c>
      <c r="P111" s="18">
        <v>1.0</v>
      </c>
      <c r="Q111" s="18">
        <v>1.19024613E8</v>
      </c>
      <c r="R111" s="18">
        <v>3.57073839E10</v>
      </c>
      <c r="S111" s="18" t="s">
        <v>951</v>
      </c>
      <c r="T111" s="18" t="s">
        <v>39</v>
      </c>
      <c r="U111" s="18" t="s">
        <v>40</v>
      </c>
      <c r="V111" s="18" t="s">
        <v>52</v>
      </c>
    </row>
    <row r="112" ht="15.75" customHeight="1">
      <c r="D112" s="18" t="s">
        <v>60</v>
      </c>
      <c r="E112" s="18">
        <f t="shared" si="4"/>
        <v>48.58794038</v>
      </c>
      <c r="G112" s="18" t="s">
        <v>952</v>
      </c>
      <c r="H112" s="18" t="s">
        <v>32</v>
      </c>
      <c r="I112" s="18" t="s">
        <v>33</v>
      </c>
      <c r="J112" s="18" t="s">
        <v>34</v>
      </c>
      <c r="K112" s="18" t="s">
        <v>35</v>
      </c>
      <c r="L112" s="18" t="s">
        <v>36</v>
      </c>
      <c r="M112" s="18" t="s">
        <v>953</v>
      </c>
      <c r="O112" s="18">
        <v>12312.69</v>
      </c>
      <c r="P112" s="18">
        <v>1.0</v>
      </c>
      <c r="Q112" s="18">
        <v>1.29567841E8</v>
      </c>
      <c r="R112" s="18">
        <v>3.88703523E10</v>
      </c>
      <c r="S112" s="18" t="s">
        <v>954</v>
      </c>
      <c r="T112" s="18" t="s">
        <v>39</v>
      </c>
      <c r="U112" s="18" t="s">
        <v>40</v>
      </c>
      <c r="V112" s="18" t="s">
        <v>41</v>
      </c>
    </row>
    <row r="113" ht="15.75" customHeight="1">
      <c r="D113" s="18" t="s">
        <v>60</v>
      </c>
      <c r="E113" s="18">
        <f t="shared" si="4"/>
        <v>48.43441013</v>
      </c>
      <c r="G113" s="18" t="s">
        <v>955</v>
      </c>
      <c r="H113" s="18" t="s">
        <v>32</v>
      </c>
      <c r="I113" s="18" t="s">
        <v>33</v>
      </c>
      <c r="J113" s="18" t="s">
        <v>34</v>
      </c>
      <c r="K113" s="18" t="s">
        <v>35</v>
      </c>
      <c r="L113" s="18" t="s">
        <v>36</v>
      </c>
      <c r="M113" s="18" t="s">
        <v>956</v>
      </c>
      <c r="O113" s="18">
        <v>12068.38</v>
      </c>
      <c r="P113" s="18">
        <v>1.0</v>
      </c>
      <c r="Q113" s="18">
        <v>1.29158427E8</v>
      </c>
      <c r="R113" s="18">
        <v>3.87475281E10</v>
      </c>
      <c r="S113" s="18" t="s">
        <v>957</v>
      </c>
      <c r="T113" s="18" t="s">
        <v>39</v>
      </c>
      <c r="U113" s="18" t="s">
        <v>40</v>
      </c>
      <c r="V113" s="18" t="s">
        <v>41</v>
      </c>
    </row>
    <row r="114" ht="15.75" customHeight="1">
      <c r="D114" s="18" t="s">
        <v>60</v>
      </c>
      <c r="E114" s="18">
        <f t="shared" si="4"/>
        <v>47.97964088</v>
      </c>
      <c r="G114" s="18" t="s">
        <v>958</v>
      </c>
      <c r="H114" s="18" t="s">
        <v>32</v>
      </c>
      <c r="I114" s="18" t="s">
        <v>33</v>
      </c>
      <c r="J114" s="18" t="s">
        <v>34</v>
      </c>
      <c r="K114" s="18" t="s">
        <v>35</v>
      </c>
      <c r="L114" s="18" t="s">
        <v>36</v>
      </c>
      <c r="M114" s="18" t="s">
        <v>959</v>
      </c>
      <c r="O114" s="18">
        <v>11953.48</v>
      </c>
      <c r="P114" s="18">
        <v>1.0</v>
      </c>
      <c r="Q114" s="18">
        <v>1.27945709E8</v>
      </c>
      <c r="R114" s="18">
        <v>3.83837127E10</v>
      </c>
      <c r="S114" s="18" t="s">
        <v>960</v>
      </c>
      <c r="T114" s="18" t="s">
        <v>39</v>
      </c>
      <c r="U114" s="18" t="s">
        <v>40</v>
      </c>
      <c r="V114" s="18" t="s">
        <v>41</v>
      </c>
    </row>
    <row r="115" ht="15.75" customHeight="1">
      <c r="D115" s="18" t="s">
        <v>60</v>
      </c>
      <c r="E115" s="18">
        <f t="shared" si="4"/>
        <v>47.7915345</v>
      </c>
      <c r="G115" s="18" t="s">
        <v>961</v>
      </c>
      <c r="H115" s="18" t="s">
        <v>32</v>
      </c>
      <c r="I115" s="18" t="s">
        <v>33</v>
      </c>
      <c r="J115" s="18" t="s">
        <v>34</v>
      </c>
      <c r="K115" s="18" t="s">
        <v>35</v>
      </c>
      <c r="L115" s="18" t="s">
        <v>36</v>
      </c>
      <c r="M115" s="18" t="s">
        <v>962</v>
      </c>
      <c r="O115" s="18">
        <v>12157.05</v>
      </c>
      <c r="P115" s="18">
        <v>1.0</v>
      </c>
      <c r="Q115" s="18">
        <v>1.27444092E8</v>
      </c>
      <c r="R115" s="18">
        <v>3.82332276E10</v>
      </c>
      <c r="S115" s="18" t="s">
        <v>963</v>
      </c>
      <c r="T115" s="18" t="s">
        <v>39</v>
      </c>
      <c r="U115" s="18" t="s">
        <v>40</v>
      </c>
      <c r="V115" s="18" t="s">
        <v>41</v>
      </c>
    </row>
    <row r="116" ht="15.75" customHeight="1">
      <c r="D116" s="18" t="s">
        <v>60</v>
      </c>
      <c r="E116" s="18">
        <f t="shared" si="4"/>
        <v>45.358899</v>
      </c>
      <c r="G116" s="18" t="s">
        <v>964</v>
      </c>
      <c r="H116" s="18" t="s">
        <v>32</v>
      </c>
      <c r="I116" s="18" t="s">
        <v>33</v>
      </c>
      <c r="J116" s="18" t="s">
        <v>34</v>
      </c>
      <c r="K116" s="18" t="s">
        <v>35</v>
      </c>
      <c r="L116" s="18" t="s">
        <v>36</v>
      </c>
      <c r="M116" s="18" t="s">
        <v>965</v>
      </c>
      <c r="O116" s="18">
        <v>11597.92</v>
      </c>
      <c r="P116" s="18">
        <v>1.0</v>
      </c>
      <c r="Q116" s="18">
        <v>1.20957064E8</v>
      </c>
      <c r="R116" s="18">
        <v>3.62871192E10</v>
      </c>
      <c r="S116" s="18" t="s">
        <v>966</v>
      </c>
      <c r="T116" s="18" t="s">
        <v>39</v>
      </c>
      <c r="U116" s="18" t="s">
        <v>40</v>
      </c>
      <c r="V116" s="18" t="s">
        <v>41</v>
      </c>
    </row>
    <row r="117" ht="15.75" customHeight="1">
      <c r="B117" s="40">
        <v>1.0</v>
      </c>
      <c r="D117" s="18" t="s">
        <v>60</v>
      </c>
      <c r="E117" s="18">
        <f t="shared" si="4"/>
        <v>42.185355</v>
      </c>
      <c r="G117" s="18" t="s">
        <v>967</v>
      </c>
      <c r="H117" s="18" t="s">
        <v>32</v>
      </c>
      <c r="I117" s="18" t="s">
        <v>33</v>
      </c>
      <c r="J117" s="18" t="s">
        <v>34</v>
      </c>
      <c r="K117" s="18" t="s">
        <v>35</v>
      </c>
      <c r="L117" s="18" t="s">
        <v>36</v>
      </c>
      <c r="M117" s="18" t="s">
        <v>968</v>
      </c>
      <c r="O117" s="18">
        <v>10852.57</v>
      </c>
      <c r="P117" s="18">
        <v>1.0</v>
      </c>
      <c r="Q117" s="18">
        <v>1.1249428E8</v>
      </c>
      <c r="R117" s="18">
        <v>3.3748284E10</v>
      </c>
      <c r="S117" s="18" t="s">
        <v>969</v>
      </c>
      <c r="T117" s="18" t="s">
        <v>39</v>
      </c>
      <c r="U117" s="18" t="s">
        <v>40</v>
      </c>
      <c r="V117" s="18" t="s">
        <v>41</v>
      </c>
    </row>
    <row r="118" ht="15.75" customHeight="1">
      <c r="D118" s="18" t="s">
        <v>387</v>
      </c>
      <c r="E118" s="18">
        <f t="shared" si="4"/>
        <v>51.71100938</v>
      </c>
      <c r="G118" s="18" t="s">
        <v>970</v>
      </c>
      <c r="H118" s="18" t="s">
        <v>46</v>
      </c>
      <c r="I118" s="18" t="s">
        <v>33</v>
      </c>
      <c r="J118" s="18" t="s">
        <v>47</v>
      </c>
      <c r="K118" s="18" t="s">
        <v>390</v>
      </c>
      <c r="L118" s="18" t="s">
        <v>391</v>
      </c>
      <c r="M118" s="18" t="s">
        <v>971</v>
      </c>
      <c r="O118" s="18">
        <v>12862.59</v>
      </c>
      <c r="P118" s="18">
        <v>1.0</v>
      </c>
      <c r="Q118" s="18">
        <v>1.37896025E8</v>
      </c>
      <c r="R118" s="18">
        <v>4.13688075E10</v>
      </c>
      <c r="S118" s="18" t="s">
        <v>972</v>
      </c>
      <c r="T118" s="18" t="s">
        <v>39</v>
      </c>
      <c r="U118" s="18" t="s">
        <v>40</v>
      </c>
      <c r="V118" s="18" t="s">
        <v>52</v>
      </c>
    </row>
    <row r="119" ht="15.75" customHeight="1">
      <c r="D119" s="18" t="s">
        <v>387</v>
      </c>
      <c r="E119" s="18">
        <f t="shared" si="4"/>
        <v>51.62274975</v>
      </c>
      <c r="G119" s="18" t="s">
        <v>973</v>
      </c>
      <c r="H119" s="18" t="s">
        <v>46</v>
      </c>
      <c r="I119" s="18" t="s">
        <v>33</v>
      </c>
      <c r="J119" s="18" t="s">
        <v>47</v>
      </c>
      <c r="K119" s="18" t="s">
        <v>390</v>
      </c>
      <c r="L119" s="18" t="s">
        <v>391</v>
      </c>
      <c r="M119" s="18" t="s">
        <v>974</v>
      </c>
      <c r="O119" s="18">
        <v>12794.96</v>
      </c>
      <c r="P119" s="18">
        <v>1.0</v>
      </c>
      <c r="Q119" s="18">
        <v>1.37660666E8</v>
      </c>
      <c r="R119" s="18">
        <v>4.12981998E10</v>
      </c>
      <c r="S119" s="18" t="s">
        <v>836</v>
      </c>
      <c r="T119" s="18" t="s">
        <v>39</v>
      </c>
      <c r="U119" s="18" t="s">
        <v>40</v>
      </c>
      <c r="V119" s="18" t="s">
        <v>52</v>
      </c>
    </row>
    <row r="120" ht="15.75" customHeight="1">
      <c r="D120" s="18" t="s">
        <v>387</v>
      </c>
      <c r="E120" s="18">
        <f t="shared" si="4"/>
        <v>48.46044488</v>
      </c>
      <c r="G120" s="18" t="s">
        <v>975</v>
      </c>
      <c r="H120" s="18" t="s">
        <v>46</v>
      </c>
      <c r="I120" s="18" t="s">
        <v>33</v>
      </c>
      <c r="J120" s="18" t="s">
        <v>47</v>
      </c>
      <c r="K120" s="18" t="s">
        <v>390</v>
      </c>
      <c r="L120" s="18" t="s">
        <v>391</v>
      </c>
      <c r="M120" s="18" t="s">
        <v>976</v>
      </c>
      <c r="O120" s="18">
        <v>12036.69</v>
      </c>
      <c r="P120" s="18">
        <v>1.0</v>
      </c>
      <c r="Q120" s="18">
        <v>1.29227853E8</v>
      </c>
      <c r="R120" s="18">
        <v>3.87683559E10</v>
      </c>
      <c r="S120" s="18" t="s">
        <v>342</v>
      </c>
      <c r="T120" s="18" t="s">
        <v>39</v>
      </c>
      <c r="U120" s="18" t="s">
        <v>40</v>
      </c>
      <c r="V120" s="18" t="s">
        <v>52</v>
      </c>
    </row>
    <row r="121" ht="15.75" customHeight="1">
      <c r="D121" s="18" t="s">
        <v>387</v>
      </c>
      <c r="E121" s="18">
        <f t="shared" si="4"/>
        <v>48.180945</v>
      </c>
      <c r="G121" s="18" t="s">
        <v>977</v>
      </c>
      <c r="H121" s="18" t="s">
        <v>46</v>
      </c>
      <c r="I121" s="18" t="s">
        <v>33</v>
      </c>
      <c r="J121" s="18" t="s">
        <v>47</v>
      </c>
      <c r="K121" s="18" t="s">
        <v>390</v>
      </c>
      <c r="L121" s="18" t="s">
        <v>391</v>
      </c>
      <c r="M121" s="18" t="s">
        <v>978</v>
      </c>
      <c r="O121" s="18">
        <v>12171.86</v>
      </c>
      <c r="P121" s="18">
        <v>1.0</v>
      </c>
      <c r="Q121" s="18">
        <v>1.2848252E8</v>
      </c>
      <c r="R121" s="18">
        <v>3.8544756E10</v>
      </c>
      <c r="S121" s="18" t="s">
        <v>157</v>
      </c>
      <c r="T121" s="18" t="s">
        <v>39</v>
      </c>
      <c r="U121" s="18" t="s">
        <v>40</v>
      </c>
      <c r="V121" s="18" t="s">
        <v>52</v>
      </c>
    </row>
    <row r="122" ht="15.75" customHeight="1">
      <c r="D122" s="18" t="s">
        <v>387</v>
      </c>
      <c r="E122" s="18">
        <f t="shared" si="4"/>
        <v>47.04963713</v>
      </c>
      <c r="G122" s="18" t="s">
        <v>979</v>
      </c>
      <c r="H122" s="18" t="s">
        <v>46</v>
      </c>
      <c r="I122" s="18" t="s">
        <v>33</v>
      </c>
      <c r="J122" s="18" t="s">
        <v>47</v>
      </c>
      <c r="K122" s="18" t="s">
        <v>390</v>
      </c>
      <c r="L122" s="18" t="s">
        <v>391</v>
      </c>
      <c r="M122" s="18" t="s">
        <v>980</v>
      </c>
      <c r="O122" s="18">
        <v>11850.39</v>
      </c>
      <c r="P122" s="18">
        <v>1.0</v>
      </c>
      <c r="Q122" s="18">
        <v>1.25465699E8</v>
      </c>
      <c r="R122" s="18">
        <v>3.76397097E10</v>
      </c>
      <c r="S122" s="18" t="s">
        <v>981</v>
      </c>
      <c r="T122" s="18" t="s">
        <v>39</v>
      </c>
      <c r="U122" s="18" t="s">
        <v>40</v>
      </c>
      <c r="V122" s="18" t="s">
        <v>52</v>
      </c>
    </row>
    <row r="123" ht="15.75" customHeight="1">
      <c r="D123" s="18" t="s">
        <v>387</v>
      </c>
      <c r="E123" s="18">
        <f t="shared" si="4"/>
        <v>47.041695</v>
      </c>
      <c r="G123" s="18" t="s">
        <v>982</v>
      </c>
      <c r="H123" s="18" t="s">
        <v>46</v>
      </c>
      <c r="I123" s="18" t="s">
        <v>33</v>
      </c>
      <c r="J123" s="18" t="s">
        <v>47</v>
      </c>
      <c r="K123" s="18" t="s">
        <v>390</v>
      </c>
      <c r="L123" s="18" t="s">
        <v>391</v>
      </c>
      <c r="M123" s="18" t="s">
        <v>983</v>
      </c>
      <c r="O123" s="18">
        <v>11681.15</v>
      </c>
      <c r="P123" s="18">
        <v>1.0</v>
      </c>
      <c r="Q123" s="18">
        <v>1.2544452E8</v>
      </c>
      <c r="R123" s="18">
        <v>3.7633356E10</v>
      </c>
      <c r="S123" s="18" t="s">
        <v>285</v>
      </c>
      <c r="T123" s="18" t="s">
        <v>39</v>
      </c>
      <c r="U123" s="18" t="s">
        <v>40</v>
      </c>
      <c r="V123" s="18" t="s">
        <v>52</v>
      </c>
    </row>
    <row r="124" ht="15.75" customHeight="1">
      <c r="B124" s="40">
        <v>1.0</v>
      </c>
      <c r="D124" s="18" t="s">
        <v>387</v>
      </c>
      <c r="E124" s="18">
        <f t="shared" si="4"/>
        <v>47.02866638</v>
      </c>
      <c r="G124" s="18" t="s">
        <v>984</v>
      </c>
      <c r="H124" s="18" t="s">
        <v>46</v>
      </c>
      <c r="I124" s="18" t="s">
        <v>33</v>
      </c>
      <c r="J124" s="18" t="s">
        <v>47</v>
      </c>
      <c r="K124" s="18" t="s">
        <v>390</v>
      </c>
      <c r="L124" s="18" t="s">
        <v>391</v>
      </c>
      <c r="M124" s="18" t="s">
        <v>985</v>
      </c>
      <c r="O124" s="18">
        <v>11757.72</v>
      </c>
      <c r="P124" s="18">
        <v>1.0</v>
      </c>
      <c r="Q124" s="18">
        <v>1.25409777E8</v>
      </c>
      <c r="R124" s="18">
        <v>3.76229331E10</v>
      </c>
      <c r="S124" s="18" t="s">
        <v>951</v>
      </c>
      <c r="T124" s="18" t="s">
        <v>39</v>
      </c>
      <c r="U124" s="18" t="s">
        <v>40</v>
      </c>
      <c r="V124" s="18" t="s">
        <v>52</v>
      </c>
    </row>
    <row r="125" ht="15.75" customHeight="1">
      <c r="B125" s="18">
        <v>1.0</v>
      </c>
      <c r="D125" s="18" t="s">
        <v>166</v>
      </c>
      <c r="E125" s="18">
        <f t="shared" si="4"/>
        <v>13.55508338</v>
      </c>
      <c r="G125" s="18" t="s">
        <v>986</v>
      </c>
      <c r="H125" s="18" t="s">
        <v>987</v>
      </c>
      <c r="I125" s="18" t="s">
        <v>194</v>
      </c>
      <c r="J125" s="18" t="s">
        <v>195</v>
      </c>
      <c r="K125" s="18" t="s">
        <v>211</v>
      </c>
      <c r="L125" s="18" t="s">
        <v>212</v>
      </c>
      <c r="M125" s="18" t="s">
        <v>988</v>
      </c>
      <c r="O125" s="18">
        <v>3915.55</v>
      </c>
      <c r="P125" s="18">
        <v>1.0</v>
      </c>
      <c r="Q125" s="18">
        <v>3.6146889E7</v>
      </c>
      <c r="R125" s="18">
        <v>1.08440667E10</v>
      </c>
      <c r="S125" s="18" t="s">
        <v>989</v>
      </c>
      <c r="T125" s="18" t="s">
        <v>39</v>
      </c>
      <c r="U125" s="18" t="s">
        <v>40</v>
      </c>
      <c r="V125" s="18" t="s">
        <v>41</v>
      </c>
    </row>
    <row r="126" ht="15.75" customHeight="1">
      <c r="B126" s="18">
        <v>1.0</v>
      </c>
      <c r="D126" s="18" t="s">
        <v>412</v>
      </c>
      <c r="E126" s="18">
        <f t="shared" si="4"/>
        <v>26.04096375</v>
      </c>
      <c r="G126" s="18" t="s">
        <v>990</v>
      </c>
      <c r="H126" s="18" t="s">
        <v>46</v>
      </c>
      <c r="I126" s="18" t="s">
        <v>33</v>
      </c>
      <c r="J126" s="18" t="s">
        <v>47</v>
      </c>
      <c r="K126" s="18" t="s">
        <v>48</v>
      </c>
      <c r="L126" s="18" t="s">
        <v>49</v>
      </c>
      <c r="M126" s="18" t="s">
        <v>991</v>
      </c>
      <c r="O126" s="18">
        <v>7065.57</v>
      </c>
      <c r="P126" s="18">
        <v>1.0</v>
      </c>
      <c r="Q126" s="18">
        <v>6.944257E7</v>
      </c>
      <c r="R126" s="18">
        <v>2.0832771E10</v>
      </c>
      <c r="S126" s="18" t="s">
        <v>992</v>
      </c>
      <c r="T126" s="18" t="s">
        <v>39</v>
      </c>
      <c r="U126" s="18" t="s">
        <v>40</v>
      </c>
      <c r="V126" s="18" t="s">
        <v>52</v>
      </c>
    </row>
    <row r="127" ht="15.75" customHeight="1">
      <c r="C127" s="40">
        <v>1.0</v>
      </c>
      <c r="D127" s="59" t="s">
        <v>993</v>
      </c>
    </row>
    <row r="128" ht="15.75" customHeight="1">
      <c r="B128" s="40">
        <v>1.0</v>
      </c>
      <c r="D128" s="18" t="s">
        <v>108</v>
      </c>
      <c r="E128" s="18">
        <f t="shared" ref="E128:E175" si="5">R128/800000000</f>
        <v>69.57006854</v>
      </c>
      <c r="G128" s="18" t="s">
        <v>994</v>
      </c>
      <c r="H128" s="18" t="s">
        <v>995</v>
      </c>
      <c r="I128" s="18" t="s">
        <v>33</v>
      </c>
      <c r="J128" s="18" t="s">
        <v>118</v>
      </c>
      <c r="K128" s="18" t="s">
        <v>996</v>
      </c>
      <c r="L128" s="18" t="s">
        <v>997</v>
      </c>
      <c r="M128" s="18" t="s">
        <v>998</v>
      </c>
      <c r="O128" s="18">
        <v>17092.77</v>
      </c>
      <c r="P128" s="18">
        <v>1.0</v>
      </c>
      <c r="Q128" s="18">
        <v>1.86201184E8</v>
      </c>
      <c r="R128" s="18">
        <v>5.5656054828E10</v>
      </c>
      <c r="S128" s="18" t="s">
        <v>999</v>
      </c>
      <c r="T128" s="18" t="s">
        <v>39</v>
      </c>
      <c r="U128" s="18" t="s">
        <v>40</v>
      </c>
      <c r="V128" s="18" t="s">
        <v>41</v>
      </c>
    </row>
    <row r="129" ht="15.75" customHeight="1">
      <c r="D129" s="18" t="s">
        <v>418</v>
      </c>
      <c r="E129" s="18">
        <f t="shared" si="5"/>
        <v>61.25669063</v>
      </c>
      <c r="G129" s="18" t="s">
        <v>1000</v>
      </c>
      <c r="H129" s="18" t="s">
        <v>1001</v>
      </c>
      <c r="I129" s="18" t="s">
        <v>33</v>
      </c>
      <c r="J129" s="18" t="s">
        <v>1002</v>
      </c>
      <c r="K129" s="18" t="s">
        <v>1003</v>
      </c>
      <c r="L129" s="18" t="s">
        <v>1004</v>
      </c>
      <c r="M129" s="18" t="s">
        <v>1005</v>
      </c>
      <c r="O129" s="18">
        <v>15501.84</v>
      </c>
      <c r="P129" s="18">
        <v>1.0</v>
      </c>
      <c r="Q129" s="18">
        <v>1.63351175E8</v>
      </c>
      <c r="R129" s="18">
        <v>4.90053525E10</v>
      </c>
      <c r="S129" s="69" t="s">
        <v>1006</v>
      </c>
      <c r="T129" s="18" t="s">
        <v>39</v>
      </c>
      <c r="U129" s="18" t="s">
        <v>40</v>
      </c>
      <c r="V129" s="18" t="s">
        <v>52</v>
      </c>
    </row>
    <row r="130" ht="15.75" customHeight="1">
      <c r="D130" s="18" t="s">
        <v>418</v>
      </c>
      <c r="E130" s="18">
        <f t="shared" si="5"/>
        <v>52.1417355</v>
      </c>
      <c r="G130" s="18" t="s">
        <v>1007</v>
      </c>
      <c r="H130" s="18" t="s">
        <v>1001</v>
      </c>
      <c r="I130" s="18" t="s">
        <v>33</v>
      </c>
      <c r="J130" s="18" t="s">
        <v>1002</v>
      </c>
      <c r="K130" s="18" t="s">
        <v>1003</v>
      </c>
      <c r="L130" s="18" t="s">
        <v>1004</v>
      </c>
      <c r="M130" s="18" t="s">
        <v>1008</v>
      </c>
      <c r="O130" s="18">
        <v>13118.69</v>
      </c>
      <c r="P130" s="18">
        <v>1.0</v>
      </c>
      <c r="Q130" s="18">
        <v>1.39044628E8</v>
      </c>
      <c r="R130" s="18">
        <v>4.17133884E10</v>
      </c>
      <c r="S130" s="69" t="s">
        <v>1009</v>
      </c>
      <c r="T130" s="18" t="s">
        <v>39</v>
      </c>
      <c r="U130" s="18" t="s">
        <v>40</v>
      </c>
      <c r="V130" s="18" t="s">
        <v>52</v>
      </c>
    </row>
    <row r="131" ht="15.75" customHeight="1">
      <c r="D131" s="18" t="s">
        <v>418</v>
      </c>
      <c r="E131" s="18">
        <f t="shared" si="5"/>
        <v>47.4545175</v>
      </c>
      <c r="G131" s="18" t="s">
        <v>1010</v>
      </c>
      <c r="H131" s="18" t="s">
        <v>46</v>
      </c>
      <c r="I131" s="18" t="s">
        <v>33</v>
      </c>
      <c r="J131" s="18" t="s">
        <v>47</v>
      </c>
      <c r="K131" s="18" t="s">
        <v>48</v>
      </c>
      <c r="L131" s="18" t="s">
        <v>49</v>
      </c>
      <c r="M131" s="18" t="s">
        <v>1011</v>
      </c>
      <c r="O131" s="18">
        <v>11807.82</v>
      </c>
      <c r="P131" s="18">
        <v>1.0</v>
      </c>
      <c r="Q131" s="18">
        <v>1.2654538E8</v>
      </c>
      <c r="R131" s="18">
        <v>3.7963614E10</v>
      </c>
      <c r="S131" s="18" t="s">
        <v>1012</v>
      </c>
      <c r="T131" s="18" t="s">
        <v>39</v>
      </c>
      <c r="U131" s="18" t="s">
        <v>40</v>
      </c>
      <c r="V131" s="18" t="s">
        <v>52</v>
      </c>
    </row>
    <row r="132" ht="15.75" customHeight="1">
      <c r="D132" s="18" t="s">
        <v>418</v>
      </c>
      <c r="E132" s="18">
        <f t="shared" si="5"/>
        <v>46.971108</v>
      </c>
      <c r="G132" s="18" t="s">
        <v>1013</v>
      </c>
      <c r="H132" s="18" t="s">
        <v>46</v>
      </c>
      <c r="I132" s="18" t="s">
        <v>33</v>
      </c>
      <c r="J132" s="18" t="s">
        <v>47</v>
      </c>
      <c r="K132" s="18" t="s">
        <v>390</v>
      </c>
      <c r="L132" s="18" t="s">
        <v>391</v>
      </c>
      <c r="M132" s="18" t="s">
        <v>1014</v>
      </c>
      <c r="O132" s="18">
        <v>11809.04</v>
      </c>
      <c r="P132" s="18">
        <v>1.0</v>
      </c>
      <c r="Q132" s="18">
        <v>1.25256288E8</v>
      </c>
      <c r="R132" s="18">
        <v>3.75768864E10</v>
      </c>
      <c r="S132" s="18" t="s">
        <v>329</v>
      </c>
      <c r="T132" s="18" t="s">
        <v>39</v>
      </c>
      <c r="U132" s="18" t="s">
        <v>40</v>
      </c>
      <c r="V132" s="18" t="s">
        <v>52</v>
      </c>
    </row>
    <row r="133" ht="15.75" customHeight="1">
      <c r="D133" s="18" t="s">
        <v>418</v>
      </c>
      <c r="E133" s="18">
        <f t="shared" si="5"/>
        <v>45.07211925</v>
      </c>
      <c r="G133" s="18" t="s">
        <v>1015</v>
      </c>
      <c r="H133" s="18" t="s">
        <v>1001</v>
      </c>
      <c r="I133" s="18" t="s">
        <v>33</v>
      </c>
      <c r="J133" s="18" t="s">
        <v>1002</v>
      </c>
      <c r="K133" s="18" t="s">
        <v>1003</v>
      </c>
      <c r="L133" s="18" t="s">
        <v>1004</v>
      </c>
      <c r="M133" s="18" t="s">
        <v>1016</v>
      </c>
      <c r="O133" s="18">
        <v>11583.35</v>
      </c>
      <c r="P133" s="18">
        <v>1.0</v>
      </c>
      <c r="Q133" s="18">
        <v>1.20192318E8</v>
      </c>
      <c r="R133" s="18">
        <v>3.60576954E10</v>
      </c>
      <c r="S133" s="69" t="s">
        <v>1017</v>
      </c>
      <c r="T133" s="18" t="s">
        <v>39</v>
      </c>
      <c r="U133" s="18" t="s">
        <v>40</v>
      </c>
      <c r="V133" s="18" t="s">
        <v>52</v>
      </c>
    </row>
    <row r="134" ht="15.75" customHeight="1">
      <c r="D134" s="18" t="s">
        <v>418</v>
      </c>
      <c r="E134" s="18">
        <f t="shared" si="5"/>
        <v>44.890176</v>
      </c>
      <c r="G134" s="18" t="s">
        <v>1018</v>
      </c>
      <c r="H134" s="18" t="s">
        <v>46</v>
      </c>
      <c r="I134" s="18" t="s">
        <v>33</v>
      </c>
      <c r="J134" s="18" t="s">
        <v>47</v>
      </c>
      <c r="K134" s="18" t="s">
        <v>48</v>
      </c>
      <c r="L134" s="18" t="s">
        <v>49</v>
      </c>
      <c r="M134" s="18" t="s">
        <v>1019</v>
      </c>
      <c r="O134" s="18">
        <v>11150.11</v>
      </c>
      <c r="P134" s="18">
        <v>1.0</v>
      </c>
      <c r="Q134" s="18">
        <v>1.19707136E8</v>
      </c>
      <c r="R134" s="18">
        <v>3.59121408E10</v>
      </c>
      <c r="S134" s="18" t="s">
        <v>1020</v>
      </c>
      <c r="T134" s="18" t="s">
        <v>39</v>
      </c>
      <c r="U134" s="18" t="s">
        <v>40</v>
      </c>
      <c r="V134" s="18" t="s">
        <v>52</v>
      </c>
    </row>
    <row r="135" ht="15.75" customHeight="1">
      <c r="B135" s="40">
        <v>2.0</v>
      </c>
      <c r="D135" s="18" t="s">
        <v>418</v>
      </c>
      <c r="E135" s="18">
        <f t="shared" si="5"/>
        <v>42.71441963</v>
      </c>
      <c r="G135" s="18" t="s">
        <v>1021</v>
      </c>
      <c r="H135" s="18" t="s">
        <v>46</v>
      </c>
      <c r="I135" s="18" t="s">
        <v>33</v>
      </c>
      <c r="J135" s="18" t="s">
        <v>47</v>
      </c>
      <c r="K135" s="18" t="s">
        <v>390</v>
      </c>
      <c r="L135" s="18" t="s">
        <v>391</v>
      </c>
      <c r="M135" s="18" t="s">
        <v>1022</v>
      </c>
      <c r="O135" s="18">
        <v>10823.93</v>
      </c>
      <c r="P135" s="18">
        <v>1.0</v>
      </c>
      <c r="Q135" s="18">
        <v>1.13905119E8</v>
      </c>
      <c r="R135" s="18">
        <v>3.41715357E10</v>
      </c>
      <c r="S135" s="18" t="s">
        <v>1023</v>
      </c>
      <c r="T135" s="18" t="s">
        <v>39</v>
      </c>
      <c r="U135" s="18" t="s">
        <v>40</v>
      </c>
      <c r="V135" s="18" t="s">
        <v>52</v>
      </c>
    </row>
    <row r="136" ht="15.75" customHeight="1">
      <c r="D136" s="18" t="s">
        <v>418</v>
      </c>
      <c r="E136" s="18">
        <f t="shared" si="5"/>
        <v>41.90211975</v>
      </c>
      <c r="G136" s="18" t="s">
        <v>1024</v>
      </c>
      <c r="H136" s="18" t="s">
        <v>46</v>
      </c>
      <c r="I136" s="18" t="s">
        <v>33</v>
      </c>
      <c r="J136" s="18" t="s">
        <v>47</v>
      </c>
      <c r="K136" s="18" t="s">
        <v>390</v>
      </c>
      <c r="L136" s="18" t="s">
        <v>391</v>
      </c>
      <c r="M136" s="18" t="s">
        <v>1025</v>
      </c>
      <c r="O136" s="18">
        <v>10699.43</v>
      </c>
      <c r="P136" s="18">
        <v>1.0</v>
      </c>
      <c r="Q136" s="18">
        <v>1.11738986E8</v>
      </c>
      <c r="R136" s="18">
        <v>3.35216958E10</v>
      </c>
      <c r="S136" s="18" t="s">
        <v>948</v>
      </c>
      <c r="T136" s="18" t="s">
        <v>39</v>
      </c>
      <c r="U136" s="18" t="s">
        <v>40</v>
      </c>
      <c r="V136" s="18" t="s">
        <v>52</v>
      </c>
    </row>
    <row r="137" ht="15.75" customHeight="1">
      <c r="D137" s="18" t="s">
        <v>418</v>
      </c>
      <c r="E137" s="18">
        <f t="shared" si="5"/>
        <v>41.414418</v>
      </c>
      <c r="G137" s="18" t="s">
        <v>1026</v>
      </c>
      <c r="H137" s="18" t="s">
        <v>46</v>
      </c>
      <c r="I137" s="18" t="s">
        <v>33</v>
      </c>
      <c r="J137" s="18" t="s">
        <v>47</v>
      </c>
      <c r="K137" s="18" t="s">
        <v>390</v>
      </c>
      <c r="L137" s="18" t="s">
        <v>391</v>
      </c>
      <c r="M137" s="18" t="s">
        <v>1027</v>
      </c>
      <c r="O137" s="18">
        <v>10630.34</v>
      </c>
      <c r="P137" s="18">
        <v>1.0</v>
      </c>
      <c r="Q137" s="18">
        <v>1.10438448E8</v>
      </c>
      <c r="R137" s="18">
        <v>3.31315344E10</v>
      </c>
      <c r="S137" s="18" t="s">
        <v>484</v>
      </c>
      <c r="T137" s="18" t="s">
        <v>39</v>
      </c>
      <c r="U137" s="18" t="s">
        <v>40</v>
      </c>
      <c r="V137" s="18" t="s">
        <v>52</v>
      </c>
    </row>
    <row r="138" ht="15.75" customHeight="1">
      <c r="B138" s="18">
        <v>1.0</v>
      </c>
      <c r="D138" s="18" t="s">
        <v>178</v>
      </c>
      <c r="E138" s="18">
        <f t="shared" si="5"/>
        <v>19.441656</v>
      </c>
      <c r="G138" s="18" t="s">
        <v>1028</v>
      </c>
      <c r="H138" s="18" t="s">
        <v>1029</v>
      </c>
      <c r="I138" s="18" t="s">
        <v>194</v>
      </c>
      <c r="J138" s="18" t="s">
        <v>195</v>
      </c>
      <c r="K138" s="18" t="s">
        <v>196</v>
      </c>
      <c r="L138" s="18" t="s">
        <v>197</v>
      </c>
      <c r="M138" s="18" t="s">
        <v>1030</v>
      </c>
      <c r="O138" s="18">
        <v>5623.78</v>
      </c>
      <c r="P138" s="18">
        <v>1.0</v>
      </c>
      <c r="Q138" s="18">
        <v>5.1844416E7</v>
      </c>
      <c r="R138" s="18">
        <v>1.55533248E10</v>
      </c>
      <c r="S138" s="18" t="s">
        <v>1031</v>
      </c>
      <c r="T138" s="18" t="s">
        <v>39</v>
      </c>
      <c r="U138" s="18" t="s">
        <v>40</v>
      </c>
      <c r="V138" s="18" t="s">
        <v>41</v>
      </c>
    </row>
    <row r="139" ht="15.75" customHeight="1">
      <c r="D139" s="18" t="s">
        <v>178</v>
      </c>
      <c r="E139" s="18">
        <f t="shared" si="5"/>
        <v>18.32858738</v>
      </c>
      <c r="G139" s="18" t="s">
        <v>1032</v>
      </c>
      <c r="H139" s="18" t="s">
        <v>1029</v>
      </c>
      <c r="I139" s="18" t="s">
        <v>194</v>
      </c>
      <c r="J139" s="18" t="s">
        <v>195</v>
      </c>
      <c r="K139" s="18" t="s">
        <v>196</v>
      </c>
      <c r="L139" s="18" t="s">
        <v>197</v>
      </c>
      <c r="M139" s="18" t="s">
        <v>1033</v>
      </c>
      <c r="O139" s="18">
        <v>5337.1</v>
      </c>
      <c r="P139" s="18">
        <v>1.0</v>
      </c>
      <c r="Q139" s="18">
        <v>4.8876233E7</v>
      </c>
      <c r="R139" s="18">
        <v>1.46628699E10</v>
      </c>
      <c r="S139" s="18" t="s">
        <v>1034</v>
      </c>
      <c r="T139" s="18" t="s">
        <v>39</v>
      </c>
      <c r="U139" s="18" t="s">
        <v>40</v>
      </c>
      <c r="V139" s="18" t="s">
        <v>41</v>
      </c>
    </row>
    <row r="140" ht="15.75" customHeight="1">
      <c r="D140" s="18" t="s">
        <v>178</v>
      </c>
      <c r="E140" s="18">
        <f t="shared" si="5"/>
        <v>16.78770675</v>
      </c>
      <c r="G140" s="18" t="s">
        <v>1035</v>
      </c>
      <c r="H140" s="18" t="s">
        <v>1029</v>
      </c>
      <c r="I140" s="18" t="s">
        <v>194</v>
      </c>
      <c r="J140" s="18" t="s">
        <v>195</v>
      </c>
      <c r="K140" s="18" t="s">
        <v>196</v>
      </c>
      <c r="L140" s="18" t="s">
        <v>197</v>
      </c>
      <c r="M140" s="18" t="s">
        <v>1036</v>
      </c>
      <c r="O140" s="18">
        <v>4927.35</v>
      </c>
      <c r="P140" s="18">
        <v>1.0</v>
      </c>
      <c r="Q140" s="18">
        <v>4.4767218E7</v>
      </c>
      <c r="R140" s="18">
        <v>1.34301654E10</v>
      </c>
      <c r="S140" s="18" t="s">
        <v>1037</v>
      </c>
      <c r="T140" s="18" t="s">
        <v>39</v>
      </c>
      <c r="U140" s="18" t="s">
        <v>40</v>
      </c>
      <c r="V140" s="18" t="s">
        <v>41</v>
      </c>
    </row>
    <row r="141" ht="15.75" customHeight="1">
      <c r="D141" s="18" t="s">
        <v>178</v>
      </c>
      <c r="E141" s="18">
        <f t="shared" si="5"/>
        <v>16.55148338</v>
      </c>
      <c r="G141" s="18" t="s">
        <v>1038</v>
      </c>
      <c r="H141" s="18" t="s">
        <v>1029</v>
      </c>
      <c r="I141" s="18" t="s">
        <v>194</v>
      </c>
      <c r="J141" s="18" t="s">
        <v>195</v>
      </c>
      <c r="K141" s="18" t="s">
        <v>196</v>
      </c>
      <c r="L141" s="18" t="s">
        <v>197</v>
      </c>
      <c r="M141" s="18" t="s">
        <v>1039</v>
      </c>
      <c r="O141" s="18">
        <v>4688.59</v>
      </c>
      <c r="P141" s="18">
        <v>1.0</v>
      </c>
      <c r="Q141" s="18">
        <v>4.4137289E7</v>
      </c>
      <c r="R141" s="18">
        <v>1.32411867E10</v>
      </c>
      <c r="S141" s="18" t="s">
        <v>1040</v>
      </c>
      <c r="T141" s="18" t="s">
        <v>39</v>
      </c>
      <c r="U141" s="18" t="s">
        <v>40</v>
      </c>
      <c r="V141" s="18" t="s">
        <v>41</v>
      </c>
    </row>
    <row r="142" ht="15.75" customHeight="1">
      <c r="D142" s="18" t="s">
        <v>178</v>
      </c>
      <c r="E142" s="18">
        <f t="shared" si="5"/>
        <v>15.64439775</v>
      </c>
      <c r="G142" s="18" t="s">
        <v>1041</v>
      </c>
      <c r="H142" s="18" t="s">
        <v>1029</v>
      </c>
      <c r="I142" s="18" t="s">
        <v>194</v>
      </c>
      <c r="J142" s="18" t="s">
        <v>195</v>
      </c>
      <c r="K142" s="18" t="s">
        <v>196</v>
      </c>
      <c r="L142" s="18" t="s">
        <v>197</v>
      </c>
      <c r="M142" s="18" t="s">
        <v>1042</v>
      </c>
      <c r="O142" s="18">
        <v>4547.37</v>
      </c>
      <c r="P142" s="18">
        <v>1.0</v>
      </c>
      <c r="Q142" s="18">
        <v>4.1718394E7</v>
      </c>
      <c r="R142" s="18">
        <v>1.25155182E10</v>
      </c>
      <c r="S142" s="18" t="s">
        <v>1043</v>
      </c>
      <c r="T142" s="18" t="s">
        <v>39</v>
      </c>
      <c r="U142" s="18" t="s">
        <v>40</v>
      </c>
      <c r="V142" s="18" t="s">
        <v>41</v>
      </c>
    </row>
    <row r="143" ht="15.75" customHeight="1">
      <c r="D143" s="18" t="s">
        <v>178</v>
      </c>
      <c r="E143" s="18">
        <f t="shared" si="5"/>
        <v>15.50238825</v>
      </c>
      <c r="G143" s="18" t="s">
        <v>1044</v>
      </c>
      <c r="H143" s="18" t="s">
        <v>1029</v>
      </c>
      <c r="I143" s="18" t="s">
        <v>194</v>
      </c>
      <c r="J143" s="18" t="s">
        <v>195</v>
      </c>
      <c r="K143" s="18" t="s">
        <v>196</v>
      </c>
      <c r="L143" s="18" t="s">
        <v>197</v>
      </c>
      <c r="M143" s="18" t="s">
        <v>1045</v>
      </c>
      <c r="O143" s="18">
        <v>4249.39</v>
      </c>
      <c r="P143" s="18">
        <v>1.0</v>
      </c>
      <c r="Q143" s="18">
        <v>4.1339702E7</v>
      </c>
      <c r="R143" s="18">
        <v>1.24019106E10</v>
      </c>
      <c r="S143" s="18" t="s">
        <v>1046</v>
      </c>
      <c r="T143" s="18" t="s">
        <v>39</v>
      </c>
      <c r="U143" s="18" t="s">
        <v>40</v>
      </c>
      <c r="V143" s="18" t="s">
        <v>41</v>
      </c>
    </row>
    <row r="144" ht="15.75" customHeight="1">
      <c r="D144" s="18" t="s">
        <v>178</v>
      </c>
      <c r="E144" s="18">
        <f t="shared" si="5"/>
        <v>15.34833825</v>
      </c>
      <c r="G144" s="18" t="s">
        <v>1047</v>
      </c>
      <c r="H144" s="18" t="s">
        <v>1029</v>
      </c>
      <c r="I144" s="18" t="s">
        <v>194</v>
      </c>
      <c r="J144" s="18" t="s">
        <v>195</v>
      </c>
      <c r="K144" s="18" t="s">
        <v>196</v>
      </c>
      <c r="L144" s="18" t="s">
        <v>197</v>
      </c>
      <c r="M144" s="18" t="s">
        <v>1048</v>
      </c>
      <c r="O144" s="18">
        <v>4592.69</v>
      </c>
      <c r="P144" s="18">
        <v>1.0</v>
      </c>
      <c r="Q144" s="18">
        <v>4.0928902E7</v>
      </c>
      <c r="R144" s="18">
        <v>1.22786706E10</v>
      </c>
      <c r="S144" s="18" t="s">
        <v>1049</v>
      </c>
      <c r="T144" s="18" t="s">
        <v>39</v>
      </c>
      <c r="U144" s="18" t="s">
        <v>40</v>
      </c>
      <c r="V144" s="18" t="s">
        <v>41</v>
      </c>
    </row>
    <row r="145" ht="15.75" customHeight="1">
      <c r="B145" s="40">
        <v>1.0</v>
      </c>
      <c r="D145" s="18" t="s">
        <v>184</v>
      </c>
      <c r="E145" s="18">
        <f t="shared" si="5"/>
        <v>52.72392825</v>
      </c>
      <c r="G145" s="18" t="s">
        <v>1050</v>
      </c>
      <c r="H145" s="18" t="s">
        <v>46</v>
      </c>
      <c r="I145" s="18" t="s">
        <v>33</v>
      </c>
      <c r="J145" s="18" t="s">
        <v>47</v>
      </c>
      <c r="K145" s="18" t="s">
        <v>48</v>
      </c>
      <c r="L145" s="18" t="s">
        <v>49</v>
      </c>
      <c r="M145" s="18" t="s">
        <v>1051</v>
      </c>
      <c r="O145" s="18">
        <v>13817.56</v>
      </c>
      <c r="P145" s="18">
        <v>1.0</v>
      </c>
      <c r="Q145" s="18">
        <v>1.40597142E8</v>
      </c>
      <c r="R145" s="18">
        <v>4.21791426E10</v>
      </c>
      <c r="S145" s="18" t="s">
        <v>1052</v>
      </c>
      <c r="T145" s="18" t="s">
        <v>39</v>
      </c>
      <c r="U145" s="18" t="s">
        <v>40</v>
      </c>
      <c r="V145" s="18" t="s">
        <v>52</v>
      </c>
    </row>
    <row r="146" ht="15.75" customHeight="1">
      <c r="D146" s="18" t="s">
        <v>1053</v>
      </c>
      <c r="E146" s="18">
        <f t="shared" si="5"/>
        <v>13.475109</v>
      </c>
      <c r="G146" s="18" t="s">
        <v>1054</v>
      </c>
      <c r="H146" s="18" t="s">
        <v>1055</v>
      </c>
      <c r="I146" s="18" t="s">
        <v>33</v>
      </c>
      <c r="J146" s="18" t="s">
        <v>1056</v>
      </c>
      <c r="K146" s="18" t="s">
        <v>1057</v>
      </c>
      <c r="L146" s="18" t="s">
        <v>1058</v>
      </c>
      <c r="M146" s="18" t="s">
        <v>1059</v>
      </c>
      <c r="O146" s="18">
        <v>3480.76</v>
      </c>
      <c r="P146" s="18">
        <v>1.0</v>
      </c>
      <c r="Q146" s="18">
        <v>3.5933624E7</v>
      </c>
      <c r="R146" s="18">
        <v>1.07800872E10</v>
      </c>
      <c r="S146" s="18" t="s">
        <v>1060</v>
      </c>
      <c r="T146" s="18" t="s">
        <v>39</v>
      </c>
      <c r="U146" s="18" t="s">
        <v>40</v>
      </c>
      <c r="V146" s="18" t="s">
        <v>404</v>
      </c>
    </row>
    <row r="147" ht="15.75" customHeight="1">
      <c r="D147" s="18" t="s">
        <v>1053</v>
      </c>
      <c r="E147" s="18">
        <f t="shared" si="5"/>
        <v>13.32748463</v>
      </c>
      <c r="G147" s="18" t="s">
        <v>1061</v>
      </c>
      <c r="H147" s="18" t="s">
        <v>1062</v>
      </c>
      <c r="I147" s="18" t="s">
        <v>33</v>
      </c>
      <c r="J147" s="18" t="s">
        <v>1056</v>
      </c>
      <c r="K147" s="18" t="s">
        <v>1057</v>
      </c>
      <c r="L147" s="18" t="s">
        <v>1058</v>
      </c>
      <c r="M147" s="18" t="s">
        <v>1063</v>
      </c>
      <c r="O147" s="18">
        <v>3335.4</v>
      </c>
      <c r="P147" s="18">
        <v>1.0</v>
      </c>
      <c r="Q147" s="18">
        <v>3.5539959E7</v>
      </c>
      <c r="R147" s="18">
        <v>1.06619877E10</v>
      </c>
      <c r="S147" s="18" t="s">
        <v>1064</v>
      </c>
      <c r="T147" s="18" t="s">
        <v>39</v>
      </c>
      <c r="U147" s="18" t="s">
        <v>40</v>
      </c>
      <c r="V147" s="18" t="s">
        <v>404</v>
      </c>
    </row>
    <row r="148" ht="15.75" customHeight="1">
      <c r="D148" s="18" t="s">
        <v>1053</v>
      </c>
      <c r="E148" s="18">
        <f t="shared" si="5"/>
        <v>12.82731075</v>
      </c>
      <c r="G148" s="18" t="s">
        <v>1065</v>
      </c>
      <c r="H148" s="18" t="s">
        <v>1055</v>
      </c>
      <c r="I148" s="18" t="s">
        <v>33</v>
      </c>
      <c r="J148" s="18" t="s">
        <v>1056</v>
      </c>
      <c r="K148" s="18" t="s">
        <v>1057</v>
      </c>
      <c r="L148" s="18" t="s">
        <v>1058</v>
      </c>
      <c r="M148" s="18" t="s">
        <v>1066</v>
      </c>
      <c r="O148" s="18">
        <v>3216.43</v>
      </c>
      <c r="P148" s="18">
        <v>1.0</v>
      </c>
      <c r="Q148" s="18">
        <v>3.4206162E7</v>
      </c>
      <c r="R148" s="18">
        <v>1.02618486E10</v>
      </c>
      <c r="S148" s="18" t="s">
        <v>1067</v>
      </c>
      <c r="T148" s="18" t="s">
        <v>39</v>
      </c>
      <c r="U148" s="18" t="s">
        <v>40</v>
      </c>
      <c r="V148" s="18" t="s">
        <v>404</v>
      </c>
    </row>
    <row r="149" ht="15.75" customHeight="1">
      <c r="D149" s="18" t="s">
        <v>423</v>
      </c>
      <c r="E149" s="18">
        <f t="shared" si="5"/>
        <v>83.40012625</v>
      </c>
      <c r="G149" s="18" t="s">
        <v>1068</v>
      </c>
      <c r="H149" s="18" t="s">
        <v>1069</v>
      </c>
      <c r="I149" s="18" t="s">
        <v>1070</v>
      </c>
      <c r="J149" s="18" t="s">
        <v>1071</v>
      </c>
      <c r="K149" s="18" t="s">
        <v>1072</v>
      </c>
      <c r="L149" s="18" t="s">
        <v>1073</v>
      </c>
      <c r="M149" s="18" t="s">
        <v>1074</v>
      </c>
      <c r="O149" s="18">
        <v>39997.76</v>
      </c>
      <c r="P149" s="18">
        <v>1.0</v>
      </c>
      <c r="Q149" s="18">
        <v>1.33440202E8</v>
      </c>
      <c r="R149" s="18">
        <v>6.6720101E10</v>
      </c>
      <c r="S149" s="18" t="s">
        <v>1075</v>
      </c>
      <c r="T149" s="18" t="s">
        <v>39</v>
      </c>
      <c r="U149" s="18" t="s">
        <v>40</v>
      </c>
      <c r="V149" s="18" t="s">
        <v>41</v>
      </c>
    </row>
    <row r="150" ht="15.75" customHeight="1">
      <c r="D150" s="18" t="s">
        <v>423</v>
      </c>
      <c r="E150" s="18">
        <f t="shared" si="5"/>
        <v>49.52722229</v>
      </c>
      <c r="G150" s="18" t="s">
        <v>1076</v>
      </c>
      <c r="H150" s="18" t="s">
        <v>1077</v>
      </c>
      <c r="I150" s="18" t="s">
        <v>427</v>
      </c>
      <c r="J150" s="18" t="s">
        <v>428</v>
      </c>
      <c r="K150" s="18" t="s">
        <v>429</v>
      </c>
      <c r="L150" s="18" t="s">
        <v>430</v>
      </c>
      <c r="M150" s="18" t="s">
        <v>1078</v>
      </c>
      <c r="O150" s="18">
        <v>17398.58</v>
      </c>
      <c r="P150" s="18">
        <v>1.0</v>
      </c>
      <c r="Q150" s="18">
        <v>1.96147415E8</v>
      </c>
      <c r="R150" s="18">
        <v>3.962177783E10</v>
      </c>
      <c r="S150" s="18" t="s">
        <v>1079</v>
      </c>
      <c r="T150" s="18" t="s">
        <v>39</v>
      </c>
      <c r="U150" s="18" t="s">
        <v>40</v>
      </c>
      <c r="V150" s="18" t="s">
        <v>41</v>
      </c>
    </row>
    <row r="151" ht="15.75" customHeight="1">
      <c r="B151" s="40">
        <v>2.0</v>
      </c>
      <c r="D151" s="18" t="s">
        <v>423</v>
      </c>
      <c r="E151" s="18">
        <f t="shared" si="5"/>
        <v>41.92584791</v>
      </c>
      <c r="G151" s="18" t="s">
        <v>1080</v>
      </c>
      <c r="H151" s="18" t="s">
        <v>1081</v>
      </c>
      <c r="I151" s="18" t="s">
        <v>427</v>
      </c>
      <c r="J151" s="18" t="s">
        <v>428</v>
      </c>
      <c r="K151" s="18" t="s">
        <v>429</v>
      </c>
      <c r="L151" s="18" t="s">
        <v>430</v>
      </c>
      <c r="M151" s="18" t="s">
        <v>1082</v>
      </c>
      <c r="O151" s="18">
        <v>15324.44</v>
      </c>
      <c r="P151" s="18">
        <v>1.0</v>
      </c>
      <c r="Q151" s="18">
        <v>1.66042962E8</v>
      </c>
      <c r="R151" s="18">
        <v>3.3540678324E10</v>
      </c>
      <c r="S151" s="18" t="s">
        <v>1083</v>
      </c>
      <c r="T151" s="18" t="s">
        <v>39</v>
      </c>
      <c r="U151" s="18" t="s">
        <v>40</v>
      </c>
      <c r="V151" s="18" t="s">
        <v>41</v>
      </c>
    </row>
    <row r="152" ht="15.75" customHeight="1">
      <c r="D152" s="18" t="s">
        <v>423</v>
      </c>
      <c r="E152" s="18">
        <f t="shared" si="5"/>
        <v>41.13146599</v>
      </c>
      <c r="G152" s="18" t="s">
        <v>1084</v>
      </c>
      <c r="H152" s="18" t="s">
        <v>1085</v>
      </c>
      <c r="I152" s="18" t="s">
        <v>427</v>
      </c>
      <c r="J152" s="18" t="s">
        <v>428</v>
      </c>
      <c r="K152" s="18" t="s">
        <v>429</v>
      </c>
      <c r="L152" s="18" t="s">
        <v>430</v>
      </c>
      <c r="M152" s="18" t="s">
        <v>1086</v>
      </c>
      <c r="O152" s="18">
        <v>14508.1</v>
      </c>
      <c r="P152" s="18">
        <v>1.0</v>
      </c>
      <c r="Q152" s="18">
        <v>1.62896895E8</v>
      </c>
      <c r="R152" s="18">
        <v>3.290517279E10</v>
      </c>
      <c r="S152" s="18" t="s">
        <v>1087</v>
      </c>
      <c r="T152" s="18" t="s">
        <v>39</v>
      </c>
      <c r="U152" s="18" t="s">
        <v>40</v>
      </c>
      <c r="V152" s="18" t="s">
        <v>41</v>
      </c>
    </row>
    <row r="153" ht="15.75" customHeight="1">
      <c r="D153" s="18" t="s">
        <v>423</v>
      </c>
      <c r="E153" s="18">
        <f t="shared" si="5"/>
        <v>40.29030567</v>
      </c>
      <c r="G153" s="18" t="s">
        <v>1088</v>
      </c>
      <c r="H153" s="18" t="s">
        <v>1089</v>
      </c>
      <c r="I153" s="18" t="s">
        <v>427</v>
      </c>
      <c r="J153" s="18" t="s">
        <v>428</v>
      </c>
      <c r="K153" s="18" t="s">
        <v>429</v>
      </c>
      <c r="L153" s="18" t="s">
        <v>430</v>
      </c>
      <c r="M153" s="18" t="s">
        <v>1090</v>
      </c>
      <c r="O153" s="18">
        <v>14253.9</v>
      </c>
      <c r="P153" s="18">
        <v>1.0</v>
      </c>
      <c r="Q153" s="18">
        <v>1.59565567E8</v>
      </c>
      <c r="R153" s="18">
        <v>3.2232244534E10</v>
      </c>
      <c r="S153" s="18" t="s">
        <v>1091</v>
      </c>
      <c r="T153" s="18" t="s">
        <v>39</v>
      </c>
      <c r="U153" s="18" t="s">
        <v>40</v>
      </c>
      <c r="V153" s="18" t="s">
        <v>41</v>
      </c>
    </row>
    <row r="154" ht="15.75" customHeight="1">
      <c r="D154" s="18" t="s">
        <v>423</v>
      </c>
      <c r="E154" s="18">
        <f t="shared" si="5"/>
        <v>40.27551876</v>
      </c>
      <c r="G154" s="18" t="s">
        <v>1092</v>
      </c>
      <c r="H154" s="18" t="s">
        <v>1093</v>
      </c>
      <c r="I154" s="18" t="s">
        <v>427</v>
      </c>
      <c r="J154" s="18" t="s">
        <v>428</v>
      </c>
      <c r="K154" s="18" t="s">
        <v>429</v>
      </c>
      <c r="L154" s="18" t="s">
        <v>430</v>
      </c>
      <c r="M154" s="18" t="s">
        <v>1094</v>
      </c>
      <c r="O154" s="18">
        <v>12806.54</v>
      </c>
      <c r="P154" s="18">
        <v>1.0</v>
      </c>
      <c r="Q154" s="18">
        <v>1.59507005E8</v>
      </c>
      <c r="R154" s="18">
        <v>3.222041501E10</v>
      </c>
      <c r="S154" s="18" t="s">
        <v>1095</v>
      </c>
      <c r="T154" s="18" t="s">
        <v>39</v>
      </c>
      <c r="U154" s="18" t="s">
        <v>40</v>
      </c>
      <c r="V154" s="18" t="s">
        <v>41</v>
      </c>
    </row>
    <row r="155" ht="15.75" customHeight="1">
      <c r="D155" s="18" t="s">
        <v>423</v>
      </c>
      <c r="E155" s="18">
        <f t="shared" si="5"/>
        <v>39.99273088</v>
      </c>
      <c r="G155" s="18" t="s">
        <v>1096</v>
      </c>
      <c r="H155" s="18" t="s">
        <v>1097</v>
      </c>
      <c r="I155" s="18" t="s">
        <v>427</v>
      </c>
      <c r="J155" s="18" t="s">
        <v>428</v>
      </c>
      <c r="K155" s="18" t="s">
        <v>429</v>
      </c>
      <c r="L155" s="18" t="s">
        <v>430</v>
      </c>
      <c r="M155" s="18" t="s">
        <v>1098</v>
      </c>
      <c r="O155" s="18">
        <v>14804.87</v>
      </c>
      <c r="P155" s="18">
        <v>1.0</v>
      </c>
      <c r="Q155" s="18">
        <v>1.58387053E8</v>
      </c>
      <c r="R155" s="18">
        <v>3.1994184706E10</v>
      </c>
      <c r="S155" s="18" t="s">
        <v>1099</v>
      </c>
      <c r="T155" s="18" t="s">
        <v>39</v>
      </c>
      <c r="U155" s="18" t="s">
        <v>40</v>
      </c>
      <c r="V155" s="18" t="s">
        <v>41</v>
      </c>
    </row>
    <row r="156" ht="15.75" customHeight="1">
      <c r="D156" s="18" t="s">
        <v>423</v>
      </c>
      <c r="E156" s="18">
        <f t="shared" si="5"/>
        <v>38.84578044</v>
      </c>
      <c r="G156" s="18" t="s">
        <v>1100</v>
      </c>
      <c r="H156" s="18" t="s">
        <v>1101</v>
      </c>
      <c r="I156" s="18" t="s">
        <v>427</v>
      </c>
      <c r="J156" s="18" t="s">
        <v>428</v>
      </c>
      <c r="K156" s="18" t="s">
        <v>429</v>
      </c>
      <c r="L156" s="18" t="s">
        <v>430</v>
      </c>
      <c r="M156" s="18" t="s">
        <v>1102</v>
      </c>
      <c r="O156" s="18">
        <v>14267.3</v>
      </c>
      <c r="P156" s="18">
        <v>1.0</v>
      </c>
      <c r="Q156" s="18">
        <v>1.53844675E8</v>
      </c>
      <c r="R156" s="18">
        <v>3.107662435E10</v>
      </c>
      <c r="S156" s="18" t="s">
        <v>1103</v>
      </c>
      <c r="T156" s="18" t="s">
        <v>39</v>
      </c>
      <c r="U156" s="18" t="s">
        <v>40</v>
      </c>
      <c r="V156" s="18" t="s">
        <v>41</v>
      </c>
    </row>
    <row r="157" ht="15.75" customHeight="1">
      <c r="D157" s="18" t="s">
        <v>423</v>
      </c>
      <c r="E157" s="18">
        <f t="shared" si="5"/>
        <v>38.53280896</v>
      </c>
      <c r="G157" s="18" t="s">
        <v>1104</v>
      </c>
      <c r="H157" s="18" t="s">
        <v>1105</v>
      </c>
      <c r="I157" s="18" t="s">
        <v>427</v>
      </c>
      <c r="J157" s="18" t="s">
        <v>428</v>
      </c>
      <c r="K157" s="18" t="s">
        <v>429</v>
      </c>
      <c r="L157" s="18" t="s">
        <v>430</v>
      </c>
      <c r="M157" s="18" t="s">
        <v>1106</v>
      </c>
      <c r="O157" s="18">
        <v>14501.65</v>
      </c>
      <c r="P157" s="18">
        <v>1.0</v>
      </c>
      <c r="Q157" s="18">
        <v>1.52605184E8</v>
      </c>
      <c r="R157" s="18">
        <v>3.0826247168E10</v>
      </c>
      <c r="S157" s="18" t="s">
        <v>1107</v>
      </c>
      <c r="T157" s="18" t="s">
        <v>39</v>
      </c>
      <c r="U157" s="18" t="s">
        <v>40</v>
      </c>
      <c r="V157" s="18" t="s">
        <v>41</v>
      </c>
    </row>
    <row r="158" ht="15.75" customHeight="1">
      <c r="D158" s="18" t="s">
        <v>423</v>
      </c>
      <c r="E158" s="18">
        <f t="shared" si="5"/>
        <v>37.74611163</v>
      </c>
      <c r="G158" s="18" t="s">
        <v>1108</v>
      </c>
      <c r="H158" s="18" t="s">
        <v>1109</v>
      </c>
      <c r="I158" s="18" t="s">
        <v>427</v>
      </c>
      <c r="J158" s="18" t="s">
        <v>428</v>
      </c>
      <c r="K158" s="18" t="s">
        <v>429</v>
      </c>
      <c r="L158" s="18" t="s">
        <v>430</v>
      </c>
      <c r="M158" s="18" t="s">
        <v>1110</v>
      </c>
      <c r="O158" s="18">
        <v>13453.6</v>
      </c>
      <c r="P158" s="18">
        <v>1.0</v>
      </c>
      <c r="Q158" s="18">
        <v>1.49489551E8</v>
      </c>
      <c r="R158" s="18">
        <v>3.0196889302E10</v>
      </c>
      <c r="S158" s="18" t="s">
        <v>1111</v>
      </c>
      <c r="T158" s="18" t="s">
        <v>39</v>
      </c>
      <c r="U158" s="18" t="s">
        <v>40</v>
      </c>
      <c r="V158" s="18" t="s">
        <v>41</v>
      </c>
    </row>
    <row r="159" ht="15.75" customHeight="1">
      <c r="D159" s="18" t="s">
        <v>423</v>
      </c>
      <c r="E159" s="18">
        <f t="shared" si="5"/>
        <v>37.50707089</v>
      </c>
      <c r="G159" s="18" t="s">
        <v>1112</v>
      </c>
      <c r="H159" s="18" t="s">
        <v>1113</v>
      </c>
      <c r="I159" s="18" t="s">
        <v>427</v>
      </c>
      <c r="J159" s="18" t="s">
        <v>428</v>
      </c>
      <c r="K159" s="18" t="s">
        <v>429</v>
      </c>
      <c r="L159" s="18" t="s">
        <v>430</v>
      </c>
      <c r="M159" s="18" t="s">
        <v>1114</v>
      </c>
      <c r="O159" s="18">
        <v>13562.04</v>
      </c>
      <c r="P159" s="18">
        <v>1.0</v>
      </c>
      <c r="Q159" s="18">
        <v>1.48542855E8</v>
      </c>
      <c r="R159" s="18">
        <v>3.000565671E10</v>
      </c>
      <c r="S159" s="18" t="s">
        <v>1115</v>
      </c>
      <c r="T159" s="18" t="s">
        <v>39</v>
      </c>
      <c r="U159" s="18" t="s">
        <v>40</v>
      </c>
      <c r="V159" s="18" t="s">
        <v>41</v>
      </c>
    </row>
    <row r="160" ht="15.75" customHeight="1">
      <c r="D160" s="18" t="s">
        <v>423</v>
      </c>
      <c r="E160" s="18">
        <f t="shared" si="5"/>
        <v>37.30280016</v>
      </c>
      <c r="G160" s="18" t="s">
        <v>1116</v>
      </c>
      <c r="H160" s="18" t="s">
        <v>1117</v>
      </c>
      <c r="I160" s="18" t="s">
        <v>427</v>
      </c>
      <c r="J160" s="18" t="s">
        <v>428</v>
      </c>
      <c r="K160" s="18" t="s">
        <v>429</v>
      </c>
      <c r="L160" s="18" t="s">
        <v>430</v>
      </c>
      <c r="M160" s="18" t="s">
        <v>1118</v>
      </c>
      <c r="O160" s="18">
        <v>12999.67</v>
      </c>
      <c r="P160" s="18">
        <v>1.0</v>
      </c>
      <c r="Q160" s="18">
        <v>1.47733862E8</v>
      </c>
      <c r="R160" s="18">
        <v>2.9842240124E10</v>
      </c>
      <c r="S160" s="18" t="s">
        <v>1119</v>
      </c>
      <c r="T160" s="18" t="s">
        <v>39</v>
      </c>
      <c r="U160" s="18" t="s">
        <v>40</v>
      </c>
      <c r="V160" s="18" t="s">
        <v>41</v>
      </c>
    </row>
    <row r="161" ht="15.75" customHeight="1">
      <c r="D161" s="18" t="s">
        <v>423</v>
      </c>
      <c r="E161" s="18">
        <f t="shared" si="5"/>
        <v>37.21494177</v>
      </c>
      <c r="G161" s="18" t="s">
        <v>1120</v>
      </c>
      <c r="H161" s="18" t="s">
        <v>1121</v>
      </c>
      <c r="I161" s="18" t="s">
        <v>427</v>
      </c>
      <c r="J161" s="18" t="s">
        <v>428</v>
      </c>
      <c r="K161" s="18" t="s">
        <v>429</v>
      </c>
      <c r="L161" s="18" t="s">
        <v>430</v>
      </c>
      <c r="M161" s="18" t="s">
        <v>1122</v>
      </c>
      <c r="O161" s="18">
        <v>12922.63</v>
      </c>
      <c r="P161" s="18">
        <v>1.0</v>
      </c>
      <c r="Q161" s="18">
        <v>1.47385908E8</v>
      </c>
      <c r="R161" s="18">
        <v>2.9771953416E10</v>
      </c>
      <c r="S161" s="18" t="s">
        <v>1123</v>
      </c>
      <c r="T161" s="18" t="s">
        <v>39</v>
      </c>
      <c r="U161" s="18" t="s">
        <v>40</v>
      </c>
      <c r="V161" s="18" t="s">
        <v>41</v>
      </c>
    </row>
    <row r="162" ht="15.75" customHeight="1">
      <c r="D162" s="18" t="s">
        <v>423</v>
      </c>
      <c r="E162" s="18">
        <f t="shared" si="5"/>
        <v>36.56136774</v>
      </c>
      <c r="G162" s="18" t="s">
        <v>1124</v>
      </c>
      <c r="H162" s="18" t="s">
        <v>1125</v>
      </c>
      <c r="I162" s="18" t="s">
        <v>427</v>
      </c>
      <c r="J162" s="18" t="s">
        <v>428</v>
      </c>
      <c r="K162" s="18" t="s">
        <v>429</v>
      </c>
      <c r="L162" s="18" t="s">
        <v>430</v>
      </c>
      <c r="M162" s="18" t="s">
        <v>1126</v>
      </c>
      <c r="O162" s="18">
        <v>13265.3</v>
      </c>
      <c r="P162" s="18">
        <v>1.0</v>
      </c>
      <c r="Q162" s="18">
        <v>1.44797496E8</v>
      </c>
      <c r="R162" s="18">
        <v>2.9249094192E10</v>
      </c>
      <c r="S162" s="18" t="s">
        <v>1127</v>
      </c>
      <c r="T162" s="18" t="s">
        <v>39</v>
      </c>
      <c r="U162" s="18" t="s">
        <v>40</v>
      </c>
      <c r="V162" s="18" t="s">
        <v>41</v>
      </c>
    </row>
    <row r="163" ht="15.75" customHeight="1">
      <c r="D163" s="18" t="s">
        <v>423</v>
      </c>
      <c r="E163" s="18">
        <f t="shared" si="5"/>
        <v>35.42995413</v>
      </c>
      <c r="G163" s="18" t="s">
        <v>1128</v>
      </c>
      <c r="H163" s="18" t="s">
        <v>1129</v>
      </c>
      <c r="I163" s="18" t="s">
        <v>427</v>
      </c>
      <c r="J163" s="18" t="s">
        <v>428</v>
      </c>
      <c r="K163" s="18" t="s">
        <v>429</v>
      </c>
      <c r="L163" s="18" t="s">
        <v>430</v>
      </c>
      <c r="M163" s="18" t="s">
        <v>1130</v>
      </c>
      <c r="O163" s="18">
        <v>12756.55</v>
      </c>
      <c r="P163" s="18">
        <v>1.0</v>
      </c>
      <c r="Q163" s="18">
        <v>1.4031665E8</v>
      </c>
      <c r="R163" s="18">
        <v>2.83439633E10</v>
      </c>
      <c r="S163" s="18" t="s">
        <v>1131</v>
      </c>
      <c r="T163" s="18" t="s">
        <v>39</v>
      </c>
      <c r="U163" s="18" t="s">
        <v>40</v>
      </c>
      <c r="V163" s="18" t="s">
        <v>41</v>
      </c>
    </row>
    <row r="164" ht="15.75" customHeight="1">
      <c r="D164" s="18" t="s">
        <v>423</v>
      </c>
      <c r="E164" s="18">
        <f t="shared" si="5"/>
        <v>35.02391393</v>
      </c>
      <c r="G164" s="18" t="s">
        <v>1132</v>
      </c>
      <c r="H164" s="18" t="s">
        <v>1133</v>
      </c>
      <c r="I164" s="18" t="s">
        <v>427</v>
      </c>
      <c r="J164" s="18" t="s">
        <v>428</v>
      </c>
      <c r="K164" s="18" t="s">
        <v>429</v>
      </c>
      <c r="L164" s="18" t="s">
        <v>430</v>
      </c>
      <c r="M164" s="18" t="s">
        <v>1134</v>
      </c>
      <c r="O164" s="18">
        <v>12960.19</v>
      </c>
      <c r="P164" s="18">
        <v>1.0</v>
      </c>
      <c r="Q164" s="18">
        <v>1.3870857E8</v>
      </c>
      <c r="R164" s="18">
        <v>2.801913114E10</v>
      </c>
      <c r="S164" s="18" t="s">
        <v>1135</v>
      </c>
      <c r="T164" s="18" t="s">
        <v>39</v>
      </c>
      <c r="U164" s="18" t="s">
        <v>40</v>
      </c>
      <c r="V164" s="18" t="s">
        <v>41</v>
      </c>
    </row>
    <row r="165" ht="15.75" customHeight="1">
      <c r="B165" s="18">
        <v>1.0</v>
      </c>
      <c r="D165" s="18" t="s">
        <v>190</v>
      </c>
      <c r="E165" s="18">
        <f t="shared" si="5"/>
        <v>18.20798325</v>
      </c>
      <c r="G165" s="18" t="s">
        <v>1136</v>
      </c>
      <c r="H165" s="18" t="s">
        <v>193</v>
      </c>
      <c r="I165" s="18" t="s">
        <v>194</v>
      </c>
      <c r="J165" s="18" t="s">
        <v>195</v>
      </c>
      <c r="K165" s="18" t="s">
        <v>196</v>
      </c>
      <c r="L165" s="18" t="s">
        <v>197</v>
      </c>
      <c r="M165" s="18" t="s">
        <v>1137</v>
      </c>
      <c r="O165" s="18">
        <v>5386.4</v>
      </c>
      <c r="P165" s="18">
        <v>1.0</v>
      </c>
      <c r="Q165" s="18">
        <v>4.8554622E7</v>
      </c>
      <c r="R165" s="18">
        <v>1.45663866E10</v>
      </c>
      <c r="S165" s="18" t="s">
        <v>1138</v>
      </c>
      <c r="T165" s="18" t="s">
        <v>39</v>
      </c>
      <c r="U165" s="18" t="s">
        <v>40</v>
      </c>
      <c r="V165" s="18" t="s">
        <v>41</v>
      </c>
    </row>
    <row r="166" ht="15.75" customHeight="1">
      <c r="D166" s="18" t="s">
        <v>190</v>
      </c>
      <c r="E166" s="18">
        <f t="shared" si="5"/>
        <v>17.80502325</v>
      </c>
      <c r="G166" s="18" t="s">
        <v>1139</v>
      </c>
      <c r="H166" s="18" t="s">
        <v>193</v>
      </c>
      <c r="I166" s="18" t="s">
        <v>194</v>
      </c>
      <c r="J166" s="18" t="s">
        <v>195</v>
      </c>
      <c r="K166" s="18" t="s">
        <v>196</v>
      </c>
      <c r="L166" s="18" t="s">
        <v>197</v>
      </c>
      <c r="M166" s="18" t="s">
        <v>1140</v>
      </c>
      <c r="O166" s="18">
        <v>5224.91</v>
      </c>
      <c r="P166" s="18">
        <v>1.0</v>
      </c>
      <c r="Q166" s="18">
        <v>4.7480062E7</v>
      </c>
      <c r="R166" s="18">
        <v>1.42440186E10</v>
      </c>
      <c r="S166" s="18" t="s">
        <v>1141</v>
      </c>
      <c r="T166" s="18" t="s">
        <v>39</v>
      </c>
      <c r="U166" s="18" t="s">
        <v>40</v>
      </c>
      <c r="V166" s="18" t="s">
        <v>41</v>
      </c>
    </row>
    <row r="167" ht="15.75" customHeight="1">
      <c r="D167" s="18" t="s">
        <v>190</v>
      </c>
      <c r="E167" s="18">
        <f t="shared" si="5"/>
        <v>16.17697763</v>
      </c>
      <c r="G167" s="18" t="s">
        <v>1142</v>
      </c>
      <c r="H167" s="18" t="s">
        <v>193</v>
      </c>
      <c r="I167" s="18" t="s">
        <v>194</v>
      </c>
      <c r="J167" s="18" t="s">
        <v>195</v>
      </c>
      <c r="K167" s="18" t="s">
        <v>196</v>
      </c>
      <c r="L167" s="18" t="s">
        <v>197</v>
      </c>
      <c r="M167" s="18" t="s">
        <v>1143</v>
      </c>
      <c r="O167" s="18">
        <v>4572.53</v>
      </c>
      <c r="P167" s="18">
        <v>1.0</v>
      </c>
      <c r="Q167" s="18">
        <v>4.3138607E7</v>
      </c>
      <c r="R167" s="18">
        <v>1.29415821E10</v>
      </c>
      <c r="S167" s="18" t="s">
        <v>1144</v>
      </c>
      <c r="T167" s="18" t="s">
        <v>39</v>
      </c>
      <c r="U167" s="18" t="s">
        <v>40</v>
      </c>
      <c r="V167" s="18" t="s">
        <v>41</v>
      </c>
    </row>
    <row r="168" ht="15.75" customHeight="1">
      <c r="D168" s="18" t="s">
        <v>190</v>
      </c>
      <c r="E168" s="18">
        <f t="shared" si="5"/>
        <v>16.10369063</v>
      </c>
      <c r="G168" s="18" t="s">
        <v>1145</v>
      </c>
      <c r="H168" s="18" t="s">
        <v>193</v>
      </c>
      <c r="I168" s="18" t="s">
        <v>194</v>
      </c>
      <c r="J168" s="18" t="s">
        <v>195</v>
      </c>
      <c r="K168" s="18" t="s">
        <v>196</v>
      </c>
      <c r="L168" s="18" t="s">
        <v>197</v>
      </c>
      <c r="M168" s="18" t="s">
        <v>1146</v>
      </c>
      <c r="O168" s="18">
        <v>4440.2</v>
      </c>
      <c r="P168" s="18">
        <v>1.0</v>
      </c>
      <c r="Q168" s="18">
        <v>4.2943175E7</v>
      </c>
      <c r="R168" s="18">
        <v>1.28829525E10</v>
      </c>
      <c r="S168" s="18" t="s">
        <v>1147</v>
      </c>
      <c r="T168" s="18" t="s">
        <v>39</v>
      </c>
      <c r="U168" s="18" t="s">
        <v>40</v>
      </c>
      <c r="V168" s="18" t="s">
        <v>41</v>
      </c>
    </row>
    <row r="169" ht="15.75" customHeight="1">
      <c r="D169" s="18" t="s">
        <v>190</v>
      </c>
      <c r="E169" s="18">
        <f t="shared" si="5"/>
        <v>15.77344913</v>
      </c>
      <c r="G169" s="18" t="s">
        <v>1148</v>
      </c>
      <c r="H169" s="18" t="s">
        <v>193</v>
      </c>
      <c r="I169" s="18" t="s">
        <v>194</v>
      </c>
      <c r="J169" s="18" t="s">
        <v>195</v>
      </c>
      <c r="K169" s="18" t="s">
        <v>196</v>
      </c>
      <c r="L169" s="18" t="s">
        <v>197</v>
      </c>
      <c r="M169" s="18" t="s">
        <v>1149</v>
      </c>
      <c r="O169" s="18">
        <v>4699.95</v>
      </c>
      <c r="P169" s="18">
        <v>1.0</v>
      </c>
      <c r="Q169" s="18">
        <v>4.2062531E7</v>
      </c>
      <c r="R169" s="18">
        <v>1.26187593E10</v>
      </c>
      <c r="S169" s="18" t="s">
        <v>1150</v>
      </c>
      <c r="T169" s="18" t="s">
        <v>39</v>
      </c>
      <c r="U169" s="18" t="s">
        <v>40</v>
      </c>
      <c r="V169" s="18" t="s">
        <v>41</v>
      </c>
    </row>
    <row r="170" ht="15.75" customHeight="1">
      <c r="D170" s="18" t="s">
        <v>190</v>
      </c>
      <c r="E170" s="18">
        <f t="shared" si="5"/>
        <v>15.48778425</v>
      </c>
      <c r="G170" s="18" t="s">
        <v>1151</v>
      </c>
      <c r="H170" s="18" t="s">
        <v>193</v>
      </c>
      <c r="I170" s="18" t="s">
        <v>194</v>
      </c>
      <c r="J170" s="18" t="s">
        <v>195</v>
      </c>
      <c r="K170" s="18" t="s">
        <v>196</v>
      </c>
      <c r="L170" s="18" t="s">
        <v>197</v>
      </c>
      <c r="M170" s="18" t="s">
        <v>1152</v>
      </c>
      <c r="O170" s="18">
        <v>4490.45</v>
      </c>
      <c r="P170" s="18">
        <v>1.0</v>
      </c>
      <c r="Q170" s="18">
        <v>4.1300758E7</v>
      </c>
      <c r="R170" s="18">
        <v>1.23902274E10</v>
      </c>
      <c r="S170" s="18" t="s">
        <v>1153</v>
      </c>
      <c r="T170" s="18" t="s">
        <v>39</v>
      </c>
      <c r="U170" s="18" t="s">
        <v>40</v>
      </c>
      <c r="V170" s="18" t="s">
        <v>41</v>
      </c>
    </row>
    <row r="171" ht="15.75" customHeight="1">
      <c r="D171" s="18" t="s">
        <v>190</v>
      </c>
      <c r="E171" s="18">
        <f t="shared" si="5"/>
        <v>15.4480185</v>
      </c>
      <c r="G171" s="18" t="s">
        <v>1154</v>
      </c>
      <c r="H171" s="18" t="s">
        <v>193</v>
      </c>
      <c r="I171" s="18" t="s">
        <v>194</v>
      </c>
      <c r="J171" s="18" t="s">
        <v>195</v>
      </c>
      <c r="K171" s="18" t="s">
        <v>196</v>
      </c>
      <c r="L171" s="18" t="s">
        <v>197</v>
      </c>
      <c r="M171" s="18" t="s">
        <v>1155</v>
      </c>
      <c r="O171" s="18">
        <v>4279.6</v>
      </c>
      <c r="P171" s="18">
        <v>1.0</v>
      </c>
      <c r="Q171" s="18">
        <v>4.1194716E7</v>
      </c>
      <c r="R171" s="18">
        <v>1.23584148E10</v>
      </c>
      <c r="S171" s="18" t="s">
        <v>1156</v>
      </c>
      <c r="T171" s="18" t="s">
        <v>39</v>
      </c>
      <c r="U171" s="18" t="s">
        <v>40</v>
      </c>
      <c r="V171" s="18" t="s">
        <v>41</v>
      </c>
    </row>
    <row r="172" ht="15.75" customHeight="1">
      <c r="D172" s="18" t="s">
        <v>190</v>
      </c>
      <c r="E172" s="18">
        <f t="shared" si="5"/>
        <v>15.3944865</v>
      </c>
      <c r="G172" s="18" t="s">
        <v>1157</v>
      </c>
      <c r="H172" s="18" t="s">
        <v>193</v>
      </c>
      <c r="I172" s="18" t="s">
        <v>194</v>
      </c>
      <c r="J172" s="18" t="s">
        <v>195</v>
      </c>
      <c r="K172" s="18" t="s">
        <v>196</v>
      </c>
      <c r="L172" s="18" t="s">
        <v>197</v>
      </c>
      <c r="M172" s="18" t="s">
        <v>1158</v>
      </c>
      <c r="O172" s="18">
        <v>4240.51</v>
      </c>
      <c r="P172" s="18">
        <v>1.0</v>
      </c>
      <c r="Q172" s="18">
        <v>4.1051964E7</v>
      </c>
      <c r="R172" s="18">
        <v>1.23155892E10</v>
      </c>
      <c r="S172" s="18" t="s">
        <v>1159</v>
      </c>
      <c r="T172" s="18" t="s">
        <v>39</v>
      </c>
      <c r="U172" s="18" t="s">
        <v>40</v>
      </c>
      <c r="V172" s="18" t="s">
        <v>41</v>
      </c>
    </row>
    <row r="173" ht="15.75" customHeight="1">
      <c r="D173" s="18" t="s">
        <v>190</v>
      </c>
      <c r="E173" s="18">
        <f t="shared" si="5"/>
        <v>15.34565025</v>
      </c>
      <c r="G173" s="18" t="s">
        <v>1160</v>
      </c>
      <c r="H173" s="18" t="s">
        <v>193</v>
      </c>
      <c r="I173" s="18" t="s">
        <v>194</v>
      </c>
      <c r="J173" s="18" t="s">
        <v>195</v>
      </c>
      <c r="K173" s="18" t="s">
        <v>196</v>
      </c>
      <c r="L173" s="18" t="s">
        <v>197</v>
      </c>
      <c r="M173" s="18" t="s">
        <v>1161</v>
      </c>
      <c r="O173" s="18">
        <v>4208.23</v>
      </c>
      <c r="P173" s="18">
        <v>1.0</v>
      </c>
      <c r="Q173" s="18">
        <v>4.0921734E7</v>
      </c>
      <c r="R173" s="18">
        <v>1.22765202E10</v>
      </c>
      <c r="S173" s="18" t="s">
        <v>1162</v>
      </c>
      <c r="T173" s="18" t="s">
        <v>39</v>
      </c>
      <c r="U173" s="18" t="s">
        <v>40</v>
      </c>
      <c r="V173" s="18" t="s">
        <v>41</v>
      </c>
    </row>
    <row r="174" ht="15.75" customHeight="1">
      <c r="D174" s="18" t="s">
        <v>190</v>
      </c>
      <c r="E174" s="18">
        <f t="shared" si="5"/>
        <v>14.706861</v>
      </c>
      <c r="G174" s="18" t="s">
        <v>1163</v>
      </c>
      <c r="H174" s="18" t="s">
        <v>193</v>
      </c>
      <c r="I174" s="18" t="s">
        <v>194</v>
      </c>
      <c r="J174" s="18" t="s">
        <v>195</v>
      </c>
      <c r="K174" s="18" t="s">
        <v>196</v>
      </c>
      <c r="L174" s="18" t="s">
        <v>197</v>
      </c>
      <c r="M174" s="18" t="s">
        <v>1164</v>
      </c>
      <c r="O174" s="18">
        <v>4399.77</v>
      </c>
      <c r="P174" s="18">
        <v>1.0</v>
      </c>
      <c r="Q174" s="18">
        <v>3.9218296E7</v>
      </c>
      <c r="R174" s="18">
        <v>1.17654888E10</v>
      </c>
      <c r="S174" s="18" t="s">
        <v>1165</v>
      </c>
      <c r="T174" s="18" t="s">
        <v>39</v>
      </c>
      <c r="U174" s="18" t="s">
        <v>40</v>
      </c>
      <c r="V174" s="18" t="s">
        <v>41</v>
      </c>
    </row>
    <row r="175" ht="15.75" customHeight="1">
      <c r="C175" s="40"/>
      <c r="D175" s="18" t="s">
        <v>434</v>
      </c>
      <c r="E175" s="18">
        <f t="shared" si="5"/>
        <v>30.40586308</v>
      </c>
      <c r="G175" s="18" t="s">
        <v>1166</v>
      </c>
      <c r="H175" s="18" t="s">
        <v>1167</v>
      </c>
      <c r="I175" s="18" t="s">
        <v>427</v>
      </c>
      <c r="J175" s="18" t="s">
        <v>842</v>
      </c>
      <c r="K175" s="18" t="s">
        <v>843</v>
      </c>
      <c r="L175" s="18" t="s">
        <v>844</v>
      </c>
      <c r="M175" s="18" t="s">
        <v>1168</v>
      </c>
      <c r="O175" s="18">
        <v>9039.42</v>
      </c>
      <c r="P175" s="18">
        <v>1.0</v>
      </c>
      <c r="Q175" s="18">
        <v>8.1742429E7</v>
      </c>
      <c r="R175" s="18">
        <v>2.4324690466E10</v>
      </c>
      <c r="S175" s="18" t="s">
        <v>1169</v>
      </c>
      <c r="T175" s="18" t="s">
        <v>39</v>
      </c>
      <c r="U175" s="18" t="s">
        <v>40</v>
      </c>
      <c r="V175" s="18" t="s">
        <v>41</v>
      </c>
    </row>
    <row r="176" ht="15.75" customHeight="1">
      <c r="C176" s="40">
        <v>1.0</v>
      </c>
      <c r="D176" s="59" t="s">
        <v>434</v>
      </c>
    </row>
    <row r="177" ht="15.75" customHeight="1">
      <c r="C177" s="40"/>
      <c r="D177" s="18" t="s">
        <v>436</v>
      </c>
      <c r="E177" s="18">
        <f>R177/800000000</f>
        <v>29.08982407</v>
      </c>
      <c r="G177" s="18" t="s">
        <v>1170</v>
      </c>
      <c r="H177" s="18" t="s">
        <v>1171</v>
      </c>
      <c r="I177" s="18" t="s">
        <v>427</v>
      </c>
      <c r="J177" s="18" t="s">
        <v>842</v>
      </c>
      <c r="K177" s="18" t="s">
        <v>843</v>
      </c>
      <c r="L177" s="18" t="s">
        <v>844</v>
      </c>
      <c r="M177" s="18" t="s">
        <v>1172</v>
      </c>
      <c r="O177" s="18">
        <v>8613.92</v>
      </c>
      <c r="P177" s="18">
        <v>1.0</v>
      </c>
      <c r="Q177" s="18">
        <v>7.8197962E7</v>
      </c>
      <c r="R177" s="18">
        <v>2.3271859254E10</v>
      </c>
      <c r="S177" s="18" t="s">
        <v>1173</v>
      </c>
      <c r="T177" s="18" t="s">
        <v>39</v>
      </c>
      <c r="U177" s="18" t="s">
        <v>40</v>
      </c>
      <c r="V177" s="18" t="s">
        <v>41</v>
      </c>
    </row>
    <row r="178" ht="15.75" customHeight="1">
      <c r="C178" s="40">
        <v>1.0</v>
      </c>
      <c r="D178" s="59" t="s">
        <v>436</v>
      </c>
    </row>
    <row r="179" ht="15.75" customHeight="1">
      <c r="C179" s="40"/>
      <c r="D179" s="18" t="s">
        <v>440</v>
      </c>
      <c r="E179" s="18">
        <f>R179/800000000</f>
        <v>41.80770667</v>
      </c>
      <c r="G179" s="18" t="s">
        <v>1174</v>
      </c>
      <c r="H179" s="18" t="s">
        <v>848</v>
      </c>
      <c r="I179" s="18" t="s">
        <v>427</v>
      </c>
      <c r="J179" s="18" t="s">
        <v>842</v>
      </c>
      <c r="K179" s="18" t="s">
        <v>843</v>
      </c>
      <c r="L179" s="18" t="s">
        <v>844</v>
      </c>
      <c r="M179" s="18" t="s">
        <v>1175</v>
      </c>
      <c r="O179" s="18">
        <v>12391.84</v>
      </c>
      <c r="P179" s="18">
        <v>1.0</v>
      </c>
      <c r="Q179" s="18">
        <v>1.12260199E8</v>
      </c>
      <c r="R179" s="18">
        <v>3.3446165338E10</v>
      </c>
      <c r="S179" s="18" t="s">
        <v>1176</v>
      </c>
      <c r="T179" s="18" t="s">
        <v>39</v>
      </c>
      <c r="U179" s="18" t="s">
        <v>40</v>
      </c>
      <c r="V179" s="18" t="s">
        <v>41</v>
      </c>
    </row>
    <row r="180" ht="15.75" customHeight="1">
      <c r="C180" s="40">
        <v>1.0</v>
      </c>
      <c r="D180" s="59" t="s">
        <v>440</v>
      </c>
    </row>
    <row r="181" ht="15.75" customHeight="1">
      <c r="D181" s="18" t="s">
        <v>442</v>
      </c>
      <c r="E181" s="18">
        <f t="shared" ref="E181:E195" si="6">R181/800000000</f>
        <v>155.8577693</v>
      </c>
      <c r="G181" s="18" t="s">
        <v>1177</v>
      </c>
      <c r="H181" s="18" t="s">
        <v>1178</v>
      </c>
      <c r="I181" s="18" t="s">
        <v>194</v>
      </c>
      <c r="J181" s="18" t="s">
        <v>1179</v>
      </c>
      <c r="K181" s="18" t="s">
        <v>1180</v>
      </c>
      <c r="L181" s="18" t="s">
        <v>1181</v>
      </c>
      <c r="M181" s="18" t="s">
        <v>1182</v>
      </c>
      <c r="O181" s="18">
        <v>39018.99</v>
      </c>
      <c r="P181" s="18">
        <v>1.0</v>
      </c>
      <c r="Q181" s="18">
        <v>4.15620718E8</v>
      </c>
      <c r="R181" s="18">
        <v>1.246862154E11</v>
      </c>
      <c r="S181" s="18" t="s">
        <v>1183</v>
      </c>
      <c r="T181" s="18" t="s">
        <v>39</v>
      </c>
      <c r="U181" s="18" t="s">
        <v>40</v>
      </c>
      <c r="V181" s="18" t="s">
        <v>41</v>
      </c>
    </row>
    <row r="182" ht="15.75" customHeight="1">
      <c r="B182" s="40">
        <v>1.0</v>
      </c>
      <c r="D182" s="18" t="s">
        <v>442</v>
      </c>
      <c r="E182" s="18">
        <f t="shared" si="6"/>
        <v>35.08176563</v>
      </c>
      <c r="G182" s="18" t="s">
        <v>1184</v>
      </c>
      <c r="H182" s="18" t="s">
        <v>445</v>
      </c>
      <c r="I182" s="18" t="s">
        <v>33</v>
      </c>
      <c r="J182" s="18" t="s">
        <v>446</v>
      </c>
      <c r="K182" s="18" t="s">
        <v>447</v>
      </c>
      <c r="L182" s="18" t="s">
        <v>448</v>
      </c>
      <c r="M182" s="18" t="s">
        <v>1185</v>
      </c>
      <c r="O182" s="18">
        <v>8733.72</v>
      </c>
      <c r="P182" s="18">
        <v>1.0</v>
      </c>
      <c r="Q182" s="18">
        <v>9.3551375E7</v>
      </c>
      <c r="R182" s="18">
        <v>2.80654125E10</v>
      </c>
      <c r="S182" s="18" t="s">
        <v>1186</v>
      </c>
      <c r="T182" s="18" t="s">
        <v>39</v>
      </c>
      <c r="U182" s="18" t="s">
        <v>40</v>
      </c>
      <c r="V182" s="18" t="s">
        <v>52</v>
      </c>
    </row>
    <row r="183" ht="15.75" customHeight="1">
      <c r="D183" s="18" t="s">
        <v>442</v>
      </c>
      <c r="E183" s="18">
        <f t="shared" si="6"/>
        <v>31.69549238</v>
      </c>
      <c r="G183" s="18" t="s">
        <v>1187</v>
      </c>
      <c r="H183" s="18" t="s">
        <v>445</v>
      </c>
      <c r="I183" s="18" t="s">
        <v>33</v>
      </c>
      <c r="J183" s="18" t="s">
        <v>446</v>
      </c>
      <c r="K183" s="18" t="s">
        <v>447</v>
      </c>
      <c r="L183" s="18" t="s">
        <v>448</v>
      </c>
      <c r="M183" s="18" t="s">
        <v>1188</v>
      </c>
      <c r="O183" s="18">
        <v>8321.1</v>
      </c>
      <c r="P183" s="18">
        <v>1.0</v>
      </c>
      <c r="Q183" s="18">
        <v>8.4521313E7</v>
      </c>
      <c r="R183" s="18">
        <v>2.53563939E10</v>
      </c>
      <c r="S183" s="18" t="s">
        <v>1189</v>
      </c>
      <c r="T183" s="18" t="s">
        <v>39</v>
      </c>
      <c r="U183" s="18" t="s">
        <v>40</v>
      </c>
      <c r="V183" s="18" t="s">
        <v>52</v>
      </c>
    </row>
    <row r="184" ht="15.75" customHeight="1">
      <c r="D184" s="18" t="s">
        <v>442</v>
      </c>
      <c r="E184" s="18">
        <f t="shared" si="6"/>
        <v>28.92157838</v>
      </c>
      <c r="G184" s="18" t="s">
        <v>1190</v>
      </c>
      <c r="H184" s="18" t="s">
        <v>46</v>
      </c>
      <c r="I184" s="18" t="s">
        <v>33</v>
      </c>
      <c r="J184" s="18" t="s">
        <v>47</v>
      </c>
      <c r="K184" s="18" t="s">
        <v>48</v>
      </c>
      <c r="L184" s="18" t="s">
        <v>49</v>
      </c>
      <c r="M184" s="18" t="s">
        <v>1191</v>
      </c>
      <c r="O184" s="18">
        <v>7213.93</v>
      </c>
      <c r="P184" s="18">
        <v>1.0</v>
      </c>
      <c r="Q184" s="18">
        <v>7.7124209E7</v>
      </c>
      <c r="R184" s="18">
        <v>2.31372627E10</v>
      </c>
      <c r="S184" s="18" t="s">
        <v>1192</v>
      </c>
      <c r="T184" s="18" t="s">
        <v>39</v>
      </c>
      <c r="U184" s="18" t="s">
        <v>40</v>
      </c>
      <c r="V184" s="18" t="s">
        <v>52</v>
      </c>
    </row>
    <row r="185" ht="15.75" customHeight="1">
      <c r="D185" s="18" t="s">
        <v>442</v>
      </c>
      <c r="E185" s="18">
        <f t="shared" si="6"/>
        <v>27.3461175</v>
      </c>
      <c r="G185" s="18" t="s">
        <v>1193</v>
      </c>
      <c r="H185" s="18" t="s">
        <v>46</v>
      </c>
      <c r="I185" s="18" t="s">
        <v>33</v>
      </c>
      <c r="J185" s="18" t="s">
        <v>47</v>
      </c>
      <c r="K185" s="18" t="s">
        <v>48</v>
      </c>
      <c r="L185" s="18" t="s">
        <v>49</v>
      </c>
      <c r="M185" s="18" t="s">
        <v>1194</v>
      </c>
      <c r="O185" s="18">
        <v>8202.39</v>
      </c>
      <c r="P185" s="18">
        <v>1.0</v>
      </c>
      <c r="Q185" s="18">
        <v>7.292298E7</v>
      </c>
      <c r="R185" s="18">
        <v>2.1876894E10</v>
      </c>
      <c r="S185" s="18" t="s">
        <v>1195</v>
      </c>
      <c r="T185" s="18" t="s">
        <v>39</v>
      </c>
      <c r="U185" s="18" t="s">
        <v>40</v>
      </c>
      <c r="V185" s="18" t="s">
        <v>52</v>
      </c>
    </row>
    <row r="186" ht="15.75" customHeight="1">
      <c r="D186" s="18" t="s">
        <v>442</v>
      </c>
      <c r="E186" s="18">
        <f t="shared" si="6"/>
        <v>23.86961888</v>
      </c>
      <c r="G186" s="18" t="s">
        <v>1196</v>
      </c>
      <c r="H186" s="18" t="s">
        <v>1197</v>
      </c>
      <c r="I186" s="18" t="s">
        <v>33</v>
      </c>
      <c r="J186" s="18" t="s">
        <v>808</v>
      </c>
      <c r="K186" s="18" t="s">
        <v>1198</v>
      </c>
      <c r="L186" s="18" t="s">
        <v>1199</v>
      </c>
      <c r="M186" s="18" t="s">
        <v>1200</v>
      </c>
      <c r="O186" s="18">
        <v>6013.9</v>
      </c>
      <c r="P186" s="18">
        <v>1.0</v>
      </c>
      <c r="Q186" s="18">
        <v>6.3652317E7</v>
      </c>
      <c r="R186" s="18">
        <v>1.90956951E10</v>
      </c>
      <c r="S186" s="18" t="s">
        <v>1201</v>
      </c>
      <c r="T186" s="18" t="s">
        <v>39</v>
      </c>
      <c r="U186" s="18" t="s">
        <v>40</v>
      </c>
      <c r="V186" s="18" t="s">
        <v>52</v>
      </c>
    </row>
    <row r="187" ht="15.75" customHeight="1">
      <c r="D187" s="18" t="s">
        <v>442</v>
      </c>
      <c r="E187" s="18">
        <f t="shared" si="6"/>
        <v>21.68644275</v>
      </c>
      <c r="G187" s="18" t="s">
        <v>1202</v>
      </c>
      <c r="H187" s="18" t="s">
        <v>1197</v>
      </c>
      <c r="I187" s="18" t="s">
        <v>33</v>
      </c>
      <c r="J187" s="18" t="s">
        <v>808</v>
      </c>
      <c r="K187" s="18" t="s">
        <v>1198</v>
      </c>
      <c r="L187" s="18" t="s">
        <v>1199</v>
      </c>
      <c r="M187" s="18" t="s">
        <v>1203</v>
      </c>
      <c r="O187" s="18">
        <v>5998.64</v>
      </c>
      <c r="P187" s="18">
        <v>1.0</v>
      </c>
      <c r="Q187" s="18">
        <v>5.7830514E7</v>
      </c>
      <c r="R187" s="18">
        <v>1.73491542E10</v>
      </c>
      <c r="S187" s="18" t="s">
        <v>1204</v>
      </c>
      <c r="T187" s="18" t="s">
        <v>39</v>
      </c>
      <c r="U187" s="18" t="s">
        <v>40</v>
      </c>
      <c r="V187" s="18" t="s">
        <v>52</v>
      </c>
    </row>
    <row r="188" ht="15.75" customHeight="1">
      <c r="B188" s="40">
        <v>1.0</v>
      </c>
      <c r="D188" s="18" t="s">
        <v>201</v>
      </c>
      <c r="E188" s="18">
        <f t="shared" si="6"/>
        <v>50.70145763</v>
      </c>
      <c r="G188" s="18" t="s">
        <v>1205</v>
      </c>
      <c r="H188" s="18" t="s">
        <v>46</v>
      </c>
      <c r="I188" s="18" t="s">
        <v>33</v>
      </c>
      <c r="J188" s="18" t="s">
        <v>47</v>
      </c>
      <c r="K188" s="18" t="s">
        <v>48</v>
      </c>
      <c r="L188" s="18" t="s">
        <v>49</v>
      </c>
      <c r="M188" s="18" t="s">
        <v>1206</v>
      </c>
      <c r="O188" s="18">
        <v>12457.97</v>
      </c>
      <c r="P188" s="18">
        <v>1.0</v>
      </c>
      <c r="Q188" s="18">
        <v>1.35203887E8</v>
      </c>
      <c r="R188" s="18">
        <v>4.05611661E10</v>
      </c>
      <c r="S188" s="18" t="s">
        <v>1207</v>
      </c>
      <c r="T188" s="18" t="s">
        <v>39</v>
      </c>
      <c r="U188" s="18" t="s">
        <v>40</v>
      </c>
      <c r="V188" s="18" t="s">
        <v>52</v>
      </c>
    </row>
    <row r="189" ht="15.75" customHeight="1">
      <c r="D189" s="18" t="s">
        <v>201</v>
      </c>
      <c r="E189" s="18">
        <f t="shared" si="6"/>
        <v>16.4493855</v>
      </c>
      <c r="G189" s="18" t="s">
        <v>1208</v>
      </c>
      <c r="H189" s="18" t="s">
        <v>1209</v>
      </c>
      <c r="I189" s="18" t="s">
        <v>33</v>
      </c>
      <c r="J189" s="18" t="s">
        <v>195</v>
      </c>
      <c r="K189" s="18" t="s">
        <v>211</v>
      </c>
      <c r="L189" s="18" t="s">
        <v>212</v>
      </c>
      <c r="M189" s="18" t="s">
        <v>1210</v>
      </c>
      <c r="O189" s="18">
        <v>4278.13</v>
      </c>
      <c r="P189" s="18">
        <v>1.0</v>
      </c>
      <c r="Q189" s="18">
        <v>4.3865028E7</v>
      </c>
      <c r="R189" s="18">
        <v>1.31595084E10</v>
      </c>
      <c r="S189" s="18" t="s">
        <v>1211</v>
      </c>
      <c r="T189" s="18" t="s">
        <v>39</v>
      </c>
      <c r="U189" s="18" t="s">
        <v>40</v>
      </c>
      <c r="V189" s="18" t="s">
        <v>41</v>
      </c>
    </row>
    <row r="190" ht="15.75" customHeight="1">
      <c r="D190" s="18" t="s">
        <v>201</v>
      </c>
      <c r="E190" s="18">
        <f t="shared" si="6"/>
        <v>16.36967963</v>
      </c>
      <c r="G190" s="18" t="s">
        <v>1212</v>
      </c>
      <c r="H190" s="18" t="s">
        <v>1209</v>
      </c>
      <c r="I190" s="18" t="s">
        <v>33</v>
      </c>
      <c r="J190" s="18" t="s">
        <v>195</v>
      </c>
      <c r="K190" s="18" t="s">
        <v>211</v>
      </c>
      <c r="L190" s="18" t="s">
        <v>212</v>
      </c>
      <c r="M190" s="18" t="s">
        <v>1213</v>
      </c>
      <c r="O190" s="18">
        <v>4220.87</v>
      </c>
      <c r="P190" s="18">
        <v>1.0</v>
      </c>
      <c r="Q190" s="18">
        <v>4.3652479E7</v>
      </c>
      <c r="R190" s="18">
        <v>1.30957437E10</v>
      </c>
      <c r="S190" s="18" t="s">
        <v>1214</v>
      </c>
      <c r="T190" s="18" t="s">
        <v>39</v>
      </c>
      <c r="U190" s="18" t="s">
        <v>40</v>
      </c>
      <c r="V190" s="18" t="s">
        <v>41</v>
      </c>
    </row>
    <row r="191" ht="15.75" customHeight="1">
      <c r="D191" s="18" t="s">
        <v>201</v>
      </c>
      <c r="E191" s="18">
        <f t="shared" si="6"/>
        <v>16.228455</v>
      </c>
      <c r="G191" s="18" t="s">
        <v>1215</v>
      </c>
      <c r="H191" s="18" t="s">
        <v>1209</v>
      </c>
      <c r="I191" s="18" t="s">
        <v>33</v>
      </c>
      <c r="J191" s="18" t="s">
        <v>195</v>
      </c>
      <c r="K191" s="18" t="s">
        <v>211</v>
      </c>
      <c r="L191" s="18" t="s">
        <v>212</v>
      </c>
      <c r="M191" s="18" t="s">
        <v>1216</v>
      </c>
      <c r="O191" s="18">
        <v>4008.38</v>
      </c>
      <c r="P191" s="18">
        <v>1.0</v>
      </c>
      <c r="Q191" s="18">
        <v>4.327588E7</v>
      </c>
      <c r="R191" s="18">
        <v>1.2982764E10</v>
      </c>
      <c r="S191" s="18" t="s">
        <v>1217</v>
      </c>
      <c r="T191" s="18" t="s">
        <v>39</v>
      </c>
      <c r="U191" s="18" t="s">
        <v>40</v>
      </c>
      <c r="V191" s="18" t="s">
        <v>41</v>
      </c>
    </row>
    <row r="192" ht="15.75" customHeight="1">
      <c r="D192" s="18" t="s">
        <v>201</v>
      </c>
      <c r="E192" s="18">
        <f t="shared" si="6"/>
        <v>14.32287525</v>
      </c>
      <c r="G192" s="18" t="s">
        <v>1218</v>
      </c>
      <c r="H192" s="18" t="s">
        <v>1209</v>
      </c>
      <c r="I192" s="18" t="s">
        <v>33</v>
      </c>
      <c r="J192" s="18" t="s">
        <v>195</v>
      </c>
      <c r="K192" s="18" t="s">
        <v>211</v>
      </c>
      <c r="L192" s="18" t="s">
        <v>212</v>
      </c>
      <c r="M192" s="18" t="s">
        <v>1219</v>
      </c>
      <c r="O192" s="18">
        <v>3837.59</v>
      </c>
      <c r="P192" s="18">
        <v>1.0</v>
      </c>
      <c r="Q192" s="18">
        <v>3.8194334E7</v>
      </c>
      <c r="R192" s="18">
        <v>1.14583002E10</v>
      </c>
      <c r="S192" s="18" t="s">
        <v>1220</v>
      </c>
      <c r="T192" s="18" t="s">
        <v>39</v>
      </c>
      <c r="U192" s="18" t="s">
        <v>40</v>
      </c>
      <c r="V192" s="18" t="s">
        <v>41</v>
      </c>
    </row>
    <row r="193" ht="15.75" customHeight="1">
      <c r="D193" s="18" t="s">
        <v>201</v>
      </c>
      <c r="E193" s="18">
        <f t="shared" si="6"/>
        <v>14.120628</v>
      </c>
      <c r="G193" s="18" t="s">
        <v>1221</v>
      </c>
      <c r="H193" s="18" t="s">
        <v>1209</v>
      </c>
      <c r="I193" s="18" t="s">
        <v>33</v>
      </c>
      <c r="J193" s="18" t="s">
        <v>195</v>
      </c>
      <c r="K193" s="18" t="s">
        <v>211</v>
      </c>
      <c r="L193" s="18" t="s">
        <v>212</v>
      </c>
      <c r="M193" s="18" t="s">
        <v>1222</v>
      </c>
      <c r="O193" s="18">
        <v>3621.69</v>
      </c>
      <c r="P193" s="18">
        <v>1.0</v>
      </c>
      <c r="Q193" s="18">
        <v>3.7655008E7</v>
      </c>
      <c r="R193" s="18">
        <v>1.12965024E10</v>
      </c>
      <c r="S193" s="18" t="s">
        <v>1223</v>
      </c>
      <c r="T193" s="18" t="s">
        <v>39</v>
      </c>
      <c r="U193" s="18" t="s">
        <v>40</v>
      </c>
      <c r="V193" s="18" t="s">
        <v>41</v>
      </c>
    </row>
    <row r="194" ht="15.75" customHeight="1">
      <c r="D194" s="18" t="s">
        <v>201</v>
      </c>
      <c r="E194" s="18">
        <f t="shared" si="6"/>
        <v>14.032578</v>
      </c>
      <c r="G194" s="18" t="s">
        <v>1224</v>
      </c>
      <c r="H194" s="18" t="s">
        <v>1209</v>
      </c>
      <c r="I194" s="18" t="s">
        <v>33</v>
      </c>
      <c r="J194" s="18" t="s">
        <v>195</v>
      </c>
      <c r="K194" s="18" t="s">
        <v>211</v>
      </c>
      <c r="L194" s="18" t="s">
        <v>212</v>
      </c>
      <c r="M194" s="18" t="s">
        <v>1225</v>
      </c>
      <c r="O194" s="18">
        <v>3560.43</v>
      </c>
      <c r="P194" s="18">
        <v>1.0</v>
      </c>
      <c r="Q194" s="18">
        <v>3.7420208E7</v>
      </c>
      <c r="R194" s="18">
        <v>1.12260624E10</v>
      </c>
      <c r="S194" s="18" t="s">
        <v>1226</v>
      </c>
      <c r="T194" s="18" t="s">
        <v>39</v>
      </c>
      <c r="U194" s="18" t="s">
        <v>40</v>
      </c>
      <c r="V194" s="18" t="s">
        <v>41</v>
      </c>
    </row>
    <row r="195" ht="15.75" customHeight="1">
      <c r="C195" s="40"/>
      <c r="D195" s="18" t="s">
        <v>452</v>
      </c>
      <c r="E195" s="18">
        <f t="shared" si="6"/>
        <v>38.33166901</v>
      </c>
      <c r="G195" s="18" t="s">
        <v>1227</v>
      </c>
      <c r="H195" s="18" t="s">
        <v>1228</v>
      </c>
      <c r="I195" s="18" t="s">
        <v>427</v>
      </c>
      <c r="J195" s="18" t="s">
        <v>842</v>
      </c>
      <c r="K195" s="18" t="s">
        <v>843</v>
      </c>
      <c r="L195" s="18" t="s">
        <v>844</v>
      </c>
      <c r="M195" s="18" t="s">
        <v>1229</v>
      </c>
      <c r="O195" s="18">
        <v>11423.07</v>
      </c>
      <c r="P195" s="18">
        <v>1.0</v>
      </c>
      <c r="Q195" s="18">
        <v>1.02927974E8</v>
      </c>
      <c r="R195" s="18">
        <v>3.0665335206E10</v>
      </c>
      <c r="S195" s="18" t="s">
        <v>1230</v>
      </c>
      <c r="T195" s="18" t="s">
        <v>39</v>
      </c>
      <c r="U195" s="18" t="s">
        <v>40</v>
      </c>
      <c r="V195" s="18" t="s">
        <v>41</v>
      </c>
    </row>
    <row r="196" ht="15.75" customHeight="1">
      <c r="C196" s="40">
        <v>1.0</v>
      </c>
      <c r="D196" s="59" t="s">
        <v>452</v>
      </c>
    </row>
    <row r="197" ht="15.75" customHeight="1">
      <c r="C197" s="40"/>
      <c r="D197" s="18" t="s">
        <v>454</v>
      </c>
      <c r="E197" s="18">
        <f>R197/800000000</f>
        <v>31.03890623</v>
      </c>
      <c r="G197" s="18" t="s">
        <v>1231</v>
      </c>
      <c r="H197" s="18" t="s">
        <v>1232</v>
      </c>
      <c r="I197" s="18" t="s">
        <v>427</v>
      </c>
      <c r="J197" s="18" t="s">
        <v>842</v>
      </c>
      <c r="K197" s="18" t="s">
        <v>843</v>
      </c>
      <c r="L197" s="18" t="s">
        <v>844</v>
      </c>
      <c r="M197" s="18" t="s">
        <v>1233</v>
      </c>
      <c r="O197" s="18">
        <v>9202.84</v>
      </c>
      <c r="P197" s="18">
        <v>1.0</v>
      </c>
      <c r="Q197" s="18">
        <v>8.3445683E7</v>
      </c>
      <c r="R197" s="18">
        <v>2.4831124984E10</v>
      </c>
      <c r="S197" s="18" t="s">
        <v>1234</v>
      </c>
      <c r="T197" s="18" t="s">
        <v>39</v>
      </c>
      <c r="U197" s="18" t="s">
        <v>40</v>
      </c>
      <c r="V197" s="18" t="s">
        <v>41</v>
      </c>
    </row>
    <row r="198" ht="15.75" customHeight="1">
      <c r="C198" s="40">
        <v>1.0</v>
      </c>
      <c r="D198" s="59" t="s">
        <v>454</v>
      </c>
    </row>
    <row r="199" ht="15.75" customHeight="1">
      <c r="B199" s="40">
        <v>1.0</v>
      </c>
      <c r="D199" s="18" t="s">
        <v>305</v>
      </c>
      <c r="E199" s="18">
        <f t="shared" ref="E199:E272" si="7">R199/800000000</f>
        <v>51.90045938</v>
      </c>
      <c r="G199" s="18" t="s">
        <v>1235</v>
      </c>
      <c r="H199" s="18" t="s">
        <v>46</v>
      </c>
      <c r="I199" s="18" t="s">
        <v>33</v>
      </c>
      <c r="J199" s="18" t="s">
        <v>47</v>
      </c>
      <c r="K199" s="18" t="s">
        <v>48</v>
      </c>
      <c r="L199" s="18" t="s">
        <v>49</v>
      </c>
      <c r="M199" s="18" t="s">
        <v>1236</v>
      </c>
      <c r="O199" s="18">
        <v>12846.65</v>
      </c>
      <c r="P199" s="18">
        <v>1.0</v>
      </c>
      <c r="Q199" s="18">
        <v>1.38401225E8</v>
      </c>
      <c r="R199" s="18">
        <v>4.15203675E10</v>
      </c>
      <c r="S199" s="18" t="s">
        <v>1237</v>
      </c>
      <c r="T199" s="18" t="s">
        <v>39</v>
      </c>
      <c r="U199" s="18" t="s">
        <v>40</v>
      </c>
      <c r="V199" s="18" t="s">
        <v>52</v>
      </c>
    </row>
    <row r="200" ht="15.75" customHeight="1">
      <c r="B200" s="18">
        <v>1.0</v>
      </c>
      <c r="D200" s="18" t="s">
        <v>207</v>
      </c>
      <c r="E200" s="18">
        <f t="shared" si="7"/>
        <v>16.03136588</v>
      </c>
      <c r="G200" s="18" t="s">
        <v>1238</v>
      </c>
      <c r="H200" s="18" t="s">
        <v>210</v>
      </c>
      <c r="I200" s="18" t="s">
        <v>33</v>
      </c>
      <c r="J200" s="18" t="s">
        <v>195</v>
      </c>
      <c r="K200" s="18" t="s">
        <v>211</v>
      </c>
      <c r="L200" s="18" t="s">
        <v>212</v>
      </c>
      <c r="M200" s="18" t="s">
        <v>1239</v>
      </c>
      <c r="O200" s="18">
        <v>4004.98</v>
      </c>
      <c r="P200" s="18">
        <v>1.0</v>
      </c>
      <c r="Q200" s="18">
        <v>4.2750309E7</v>
      </c>
      <c r="R200" s="18">
        <v>1.28250927E10</v>
      </c>
      <c r="S200" s="18" t="s">
        <v>1240</v>
      </c>
      <c r="T200" s="18" t="s">
        <v>39</v>
      </c>
      <c r="U200" s="18" t="s">
        <v>40</v>
      </c>
      <c r="V200" s="18" t="s">
        <v>41</v>
      </c>
    </row>
    <row r="201" ht="15.75" customHeight="1">
      <c r="D201" s="18" t="s">
        <v>207</v>
      </c>
      <c r="E201" s="18">
        <f t="shared" si="7"/>
        <v>13.651761</v>
      </c>
      <c r="G201" s="18" t="s">
        <v>1241</v>
      </c>
      <c r="H201" s="18" t="s">
        <v>210</v>
      </c>
      <c r="I201" s="18" t="s">
        <v>33</v>
      </c>
      <c r="J201" s="18" t="s">
        <v>195</v>
      </c>
      <c r="K201" s="18" t="s">
        <v>211</v>
      </c>
      <c r="L201" s="18" t="s">
        <v>212</v>
      </c>
      <c r="M201" s="18" t="s">
        <v>1242</v>
      </c>
      <c r="O201" s="18">
        <v>3482.86</v>
      </c>
      <c r="P201" s="18">
        <v>1.0</v>
      </c>
      <c r="Q201" s="18">
        <v>3.6404696E7</v>
      </c>
      <c r="R201" s="18">
        <v>1.09214088E10</v>
      </c>
      <c r="S201" s="18" t="s">
        <v>1243</v>
      </c>
      <c r="T201" s="18" t="s">
        <v>39</v>
      </c>
      <c r="U201" s="18" t="s">
        <v>40</v>
      </c>
      <c r="V201" s="18" t="s">
        <v>41</v>
      </c>
    </row>
    <row r="202" ht="15.75" customHeight="1">
      <c r="A202" s="40"/>
      <c r="D202" s="18" t="s">
        <v>456</v>
      </c>
      <c r="E202" s="18">
        <f t="shared" si="7"/>
        <v>42.89982742</v>
      </c>
      <c r="F202" s="70"/>
      <c r="G202" s="18" t="s">
        <v>1244</v>
      </c>
      <c r="H202" s="18" t="s">
        <v>1245</v>
      </c>
      <c r="I202" s="18" t="s">
        <v>70</v>
      </c>
      <c r="K202" s="18" t="s">
        <v>1246</v>
      </c>
      <c r="L202" s="18" t="s">
        <v>1247</v>
      </c>
      <c r="M202" s="18" t="s">
        <v>1248</v>
      </c>
      <c r="O202" s="18">
        <v>21495.0</v>
      </c>
      <c r="P202" s="18">
        <v>1.0</v>
      </c>
      <c r="Q202" s="18">
        <v>1.73233252E8</v>
      </c>
      <c r="R202" s="18">
        <v>3.4319861934E10</v>
      </c>
      <c r="S202" s="18" t="s">
        <v>1249</v>
      </c>
      <c r="T202" s="18" t="s">
        <v>39</v>
      </c>
      <c r="U202" s="18" t="s">
        <v>40</v>
      </c>
      <c r="V202" s="18" t="s">
        <v>41</v>
      </c>
    </row>
    <row r="203" ht="15.75" customHeight="1">
      <c r="D203" s="18" t="s">
        <v>456</v>
      </c>
      <c r="E203" s="18">
        <f t="shared" si="7"/>
        <v>119.8887168</v>
      </c>
      <c r="G203" s="18" t="s">
        <v>1250</v>
      </c>
      <c r="H203" s="18" t="s">
        <v>1251</v>
      </c>
      <c r="I203" s="18" t="s">
        <v>427</v>
      </c>
      <c r="J203" s="18" t="s">
        <v>1252</v>
      </c>
      <c r="K203" s="18" t="s">
        <v>1253</v>
      </c>
      <c r="L203" s="18" t="s">
        <v>1254</v>
      </c>
      <c r="M203" s="18" t="s">
        <v>1255</v>
      </c>
      <c r="O203" s="18">
        <v>23454.35</v>
      </c>
      <c r="P203" s="18">
        <v>1.0</v>
      </c>
      <c r="Q203" s="18">
        <v>3.20080937E8</v>
      </c>
      <c r="R203" s="18">
        <v>9.5910973433E10</v>
      </c>
      <c r="S203" s="18" t="s">
        <v>1256</v>
      </c>
      <c r="T203" s="18" t="s">
        <v>39</v>
      </c>
      <c r="U203" s="18" t="s">
        <v>40</v>
      </c>
      <c r="V203" s="18" t="s">
        <v>41</v>
      </c>
    </row>
    <row r="204" ht="15.75" customHeight="1">
      <c r="D204" s="18" t="s">
        <v>456</v>
      </c>
      <c r="E204" s="18">
        <f t="shared" si="7"/>
        <v>112.4904301</v>
      </c>
      <c r="G204" s="18" t="s">
        <v>1257</v>
      </c>
      <c r="H204" s="18" t="s">
        <v>1251</v>
      </c>
      <c r="I204" s="18" t="s">
        <v>427</v>
      </c>
      <c r="J204" s="18" t="s">
        <v>1252</v>
      </c>
      <c r="K204" s="18" t="s">
        <v>1253</v>
      </c>
      <c r="L204" s="18" t="s">
        <v>1254</v>
      </c>
      <c r="M204" s="18" t="s">
        <v>1258</v>
      </c>
      <c r="O204" s="18">
        <v>22144.61</v>
      </c>
      <c r="P204" s="18">
        <v>1.0</v>
      </c>
      <c r="Q204" s="18">
        <v>3.04669456E8</v>
      </c>
      <c r="R204" s="18">
        <v>8.9992344118E10</v>
      </c>
      <c r="S204" s="18" t="s">
        <v>1259</v>
      </c>
      <c r="T204" s="18" t="s">
        <v>39</v>
      </c>
      <c r="U204" s="18" t="s">
        <v>40</v>
      </c>
      <c r="V204" s="18" t="s">
        <v>41</v>
      </c>
    </row>
    <row r="205" ht="15.75" customHeight="1">
      <c r="D205" s="18" t="s">
        <v>456</v>
      </c>
      <c r="E205" s="18">
        <f t="shared" si="7"/>
        <v>97.65181703</v>
      </c>
      <c r="G205" s="18" t="s">
        <v>1260</v>
      </c>
      <c r="H205" s="18" t="s">
        <v>1261</v>
      </c>
      <c r="I205" s="18" t="s">
        <v>427</v>
      </c>
      <c r="J205" s="18" t="s">
        <v>460</v>
      </c>
      <c r="K205" s="18" t="s">
        <v>461</v>
      </c>
      <c r="L205" s="18" t="s">
        <v>462</v>
      </c>
      <c r="M205" s="18" t="s">
        <v>1262</v>
      </c>
      <c r="O205" s="18">
        <v>34481.73</v>
      </c>
      <c r="P205" s="18">
        <v>1.0</v>
      </c>
      <c r="Q205" s="18">
        <v>2.5868031E8</v>
      </c>
      <c r="R205" s="18">
        <v>7.812145362E10</v>
      </c>
      <c r="S205" s="18" t="s">
        <v>1263</v>
      </c>
      <c r="T205" s="18" t="s">
        <v>39</v>
      </c>
      <c r="U205" s="18" t="s">
        <v>40</v>
      </c>
      <c r="V205" s="18" t="s">
        <v>404</v>
      </c>
    </row>
    <row r="206" ht="15.75" customHeight="1">
      <c r="D206" s="18" t="s">
        <v>456</v>
      </c>
      <c r="E206" s="18">
        <f t="shared" si="7"/>
        <v>92.29735061</v>
      </c>
      <c r="G206" s="18" t="s">
        <v>1264</v>
      </c>
      <c r="H206" s="18" t="s">
        <v>459</v>
      </c>
      <c r="I206" s="18" t="s">
        <v>427</v>
      </c>
      <c r="J206" s="18" t="s">
        <v>460</v>
      </c>
      <c r="K206" s="18" t="s">
        <v>461</v>
      </c>
      <c r="L206" s="18" t="s">
        <v>462</v>
      </c>
      <c r="M206" s="18" t="s">
        <v>1265</v>
      </c>
      <c r="O206" s="18">
        <v>30133.49</v>
      </c>
      <c r="P206" s="18">
        <v>1.0</v>
      </c>
      <c r="Q206" s="18">
        <v>2.44496293E8</v>
      </c>
      <c r="R206" s="18">
        <v>7.3837880486E10</v>
      </c>
      <c r="S206" s="18" t="s">
        <v>1266</v>
      </c>
      <c r="T206" s="18" t="s">
        <v>39</v>
      </c>
      <c r="U206" s="18" t="s">
        <v>40</v>
      </c>
      <c r="V206" s="18" t="s">
        <v>404</v>
      </c>
    </row>
    <row r="207" ht="15.75" customHeight="1">
      <c r="D207" s="18" t="s">
        <v>456</v>
      </c>
      <c r="E207" s="18">
        <f t="shared" si="7"/>
        <v>87.28922949</v>
      </c>
      <c r="G207" s="18" t="s">
        <v>1267</v>
      </c>
      <c r="H207" s="18" t="s">
        <v>459</v>
      </c>
      <c r="I207" s="18" t="s">
        <v>427</v>
      </c>
      <c r="J207" s="18" t="s">
        <v>460</v>
      </c>
      <c r="K207" s="18" t="s">
        <v>461</v>
      </c>
      <c r="L207" s="18" t="s">
        <v>462</v>
      </c>
      <c r="M207" s="18" t="s">
        <v>1268</v>
      </c>
      <c r="O207" s="18">
        <v>29091.31</v>
      </c>
      <c r="P207" s="18">
        <v>1.0</v>
      </c>
      <c r="Q207" s="18">
        <v>2.31229747E8</v>
      </c>
      <c r="R207" s="18">
        <v>6.9831383594E10</v>
      </c>
      <c r="S207" s="18" t="s">
        <v>1269</v>
      </c>
      <c r="T207" s="18" t="s">
        <v>39</v>
      </c>
      <c r="U207" s="18" t="s">
        <v>40</v>
      </c>
      <c r="V207" s="18" t="s">
        <v>404</v>
      </c>
    </row>
    <row r="208" ht="15.75" customHeight="1">
      <c r="D208" s="18" t="s">
        <v>456</v>
      </c>
      <c r="E208" s="18">
        <f t="shared" si="7"/>
        <v>84.19868569</v>
      </c>
      <c r="G208" s="18" t="s">
        <v>1270</v>
      </c>
      <c r="H208" s="18" t="s">
        <v>459</v>
      </c>
      <c r="I208" s="18" t="s">
        <v>427</v>
      </c>
      <c r="J208" s="18" t="s">
        <v>460</v>
      </c>
      <c r="K208" s="18" t="s">
        <v>461</v>
      </c>
      <c r="L208" s="18" t="s">
        <v>462</v>
      </c>
      <c r="M208" s="18" t="s">
        <v>1271</v>
      </c>
      <c r="O208" s="18">
        <v>28213.43</v>
      </c>
      <c r="P208" s="18">
        <v>1.0</v>
      </c>
      <c r="Q208" s="18">
        <v>2.23042876E8</v>
      </c>
      <c r="R208" s="18">
        <v>6.7358948552E10</v>
      </c>
      <c r="S208" s="18" t="s">
        <v>1272</v>
      </c>
      <c r="T208" s="18" t="s">
        <v>39</v>
      </c>
      <c r="U208" s="18" t="s">
        <v>40</v>
      </c>
      <c r="V208" s="18" t="s">
        <v>404</v>
      </c>
    </row>
    <row r="209" ht="15.75" customHeight="1">
      <c r="D209" s="18" t="s">
        <v>456</v>
      </c>
      <c r="E209" s="18">
        <f t="shared" si="7"/>
        <v>73.29058574</v>
      </c>
      <c r="G209" s="18" t="s">
        <v>1273</v>
      </c>
      <c r="H209" s="18" t="s">
        <v>459</v>
      </c>
      <c r="I209" s="18" t="s">
        <v>427</v>
      </c>
      <c r="J209" s="18" t="s">
        <v>460</v>
      </c>
      <c r="K209" s="18" t="s">
        <v>461</v>
      </c>
      <c r="L209" s="18" t="s">
        <v>462</v>
      </c>
      <c r="M209" s="18" t="s">
        <v>1274</v>
      </c>
      <c r="O209" s="18">
        <v>26264.68</v>
      </c>
      <c r="P209" s="18">
        <v>1.0</v>
      </c>
      <c r="Q209" s="18">
        <v>1.94147247E8</v>
      </c>
      <c r="R209" s="18">
        <v>5.8632468594E10</v>
      </c>
      <c r="S209" s="18" t="s">
        <v>1275</v>
      </c>
      <c r="T209" s="18" t="s">
        <v>39</v>
      </c>
      <c r="U209" s="18" t="s">
        <v>40</v>
      </c>
      <c r="V209" s="18" t="s">
        <v>404</v>
      </c>
    </row>
    <row r="210" ht="15.75" customHeight="1">
      <c r="D210" s="18" t="s">
        <v>456</v>
      </c>
      <c r="E210" s="18">
        <f t="shared" si="7"/>
        <v>72.53662953</v>
      </c>
      <c r="G210" s="18" t="s">
        <v>1276</v>
      </c>
      <c r="H210" s="18" t="s">
        <v>459</v>
      </c>
      <c r="I210" s="18" t="s">
        <v>427</v>
      </c>
      <c r="J210" s="18" t="s">
        <v>460</v>
      </c>
      <c r="K210" s="18" t="s">
        <v>461</v>
      </c>
      <c r="L210" s="18" t="s">
        <v>462</v>
      </c>
      <c r="M210" s="18" t="s">
        <v>1277</v>
      </c>
      <c r="O210" s="18">
        <v>24038.39</v>
      </c>
      <c r="P210" s="18">
        <v>1.0</v>
      </c>
      <c r="Q210" s="18">
        <v>1.92150012E8</v>
      </c>
      <c r="R210" s="18">
        <v>5.8029303624E10</v>
      </c>
      <c r="S210" s="18" t="s">
        <v>1278</v>
      </c>
      <c r="T210" s="18" t="s">
        <v>39</v>
      </c>
      <c r="U210" s="18" t="s">
        <v>40</v>
      </c>
      <c r="V210" s="18" t="s">
        <v>404</v>
      </c>
    </row>
    <row r="211" ht="15.75" customHeight="1">
      <c r="D211" s="18" t="s">
        <v>456</v>
      </c>
      <c r="E211" s="18">
        <f t="shared" si="7"/>
        <v>69.88053236</v>
      </c>
      <c r="G211" s="18" t="s">
        <v>1279</v>
      </c>
      <c r="H211" s="18" t="s">
        <v>459</v>
      </c>
      <c r="I211" s="18" t="s">
        <v>427</v>
      </c>
      <c r="J211" s="18" t="s">
        <v>460</v>
      </c>
      <c r="K211" s="18" t="s">
        <v>461</v>
      </c>
      <c r="L211" s="18" t="s">
        <v>462</v>
      </c>
      <c r="M211" s="18" t="s">
        <v>1280</v>
      </c>
      <c r="O211" s="18">
        <v>24068.18</v>
      </c>
      <c r="P211" s="18">
        <v>1.0</v>
      </c>
      <c r="Q211" s="18">
        <v>1.85113993E8</v>
      </c>
      <c r="R211" s="18">
        <v>5.5904425886E10</v>
      </c>
      <c r="S211" s="18" t="s">
        <v>1281</v>
      </c>
      <c r="T211" s="18" t="s">
        <v>39</v>
      </c>
      <c r="U211" s="18" t="s">
        <v>40</v>
      </c>
      <c r="V211" s="18" t="s">
        <v>404</v>
      </c>
    </row>
    <row r="212" ht="15.75" customHeight="1">
      <c r="D212" s="18" t="s">
        <v>456</v>
      </c>
      <c r="E212" s="18">
        <f t="shared" si="7"/>
        <v>50.91060451</v>
      </c>
      <c r="G212" s="18" t="s">
        <v>1282</v>
      </c>
      <c r="H212" s="18" t="s">
        <v>1245</v>
      </c>
      <c r="I212" s="18" t="s">
        <v>70</v>
      </c>
      <c r="K212" s="18" t="s">
        <v>1246</v>
      </c>
      <c r="L212" s="18" t="s">
        <v>1247</v>
      </c>
      <c r="M212" s="18" t="s">
        <v>1248</v>
      </c>
      <c r="O212" s="18">
        <v>28853.79</v>
      </c>
      <c r="P212" s="18">
        <v>1.0</v>
      </c>
      <c r="Q212" s="18">
        <v>2.11206378E8</v>
      </c>
      <c r="R212" s="18">
        <v>4.0728483608E10</v>
      </c>
      <c r="S212" s="18" t="s">
        <v>1249</v>
      </c>
      <c r="T212" s="18" t="s">
        <v>39</v>
      </c>
      <c r="U212" s="18" t="s">
        <v>40</v>
      </c>
      <c r="V212" s="18" t="s">
        <v>41</v>
      </c>
    </row>
    <row r="213" ht="15.75" customHeight="1">
      <c r="D213" s="18" t="s">
        <v>456</v>
      </c>
      <c r="E213" s="18">
        <f t="shared" si="7"/>
        <v>50.52714153</v>
      </c>
      <c r="G213" s="18" t="s">
        <v>1283</v>
      </c>
      <c r="H213" s="18" t="s">
        <v>1245</v>
      </c>
      <c r="I213" s="18" t="s">
        <v>70</v>
      </c>
      <c r="K213" s="18" t="s">
        <v>1246</v>
      </c>
      <c r="L213" s="18" t="s">
        <v>1247</v>
      </c>
      <c r="M213" s="18" t="s">
        <v>1248</v>
      </c>
      <c r="O213" s="18">
        <v>28662.95</v>
      </c>
      <c r="P213" s="18">
        <v>1.0</v>
      </c>
      <c r="Q213" s="18">
        <v>2.09629495E8</v>
      </c>
      <c r="R213" s="18">
        <v>4.0421713227E10</v>
      </c>
      <c r="S213" s="18" t="s">
        <v>1249</v>
      </c>
      <c r="T213" s="18" t="s">
        <v>39</v>
      </c>
      <c r="U213" s="18" t="s">
        <v>40</v>
      </c>
      <c r="V213" s="18" t="s">
        <v>41</v>
      </c>
    </row>
    <row r="214" ht="15.75" customHeight="1">
      <c r="D214" s="18" t="s">
        <v>456</v>
      </c>
      <c r="E214" s="18">
        <f t="shared" si="7"/>
        <v>50.3720175</v>
      </c>
      <c r="G214" s="18" t="s">
        <v>1284</v>
      </c>
      <c r="H214" s="18" t="s">
        <v>1245</v>
      </c>
      <c r="I214" s="18" t="s">
        <v>70</v>
      </c>
      <c r="K214" s="18" t="s">
        <v>1246</v>
      </c>
      <c r="L214" s="18" t="s">
        <v>1247</v>
      </c>
      <c r="M214" s="18" t="s">
        <v>1248</v>
      </c>
      <c r="O214" s="18">
        <v>28454.45</v>
      </c>
      <c r="P214" s="18">
        <v>1.0</v>
      </c>
      <c r="Q214" s="18">
        <v>2.09234454E8</v>
      </c>
      <c r="R214" s="18">
        <v>4.0297613999E10</v>
      </c>
      <c r="S214" s="18" t="s">
        <v>1249</v>
      </c>
      <c r="T214" s="18" t="s">
        <v>39</v>
      </c>
      <c r="U214" s="18" t="s">
        <v>40</v>
      </c>
      <c r="V214" s="18" t="s">
        <v>41</v>
      </c>
    </row>
    <row r="215" ht="15.75" customHeight="1">
      <c r="D215" s="18" t="s">
        <v>456</v>
      </c>
      <c r="E215" s="18">
        <f t="shared" si="7"/>
        <v>50.14136369</v>
      </c>
      <c r="G215" s="18" t="s">
        <v>1285</v>
      </c>
      <c r="H215" s="18" t="s">
        <v>1245</v>
      </c>
      <c r="I215" s="18" t="s">
        <v>70</v>
      </c>
      <c r="K215" s="18" t="s">
        <v>1246</v>
      </c>
      <c r="L215" s="18" t="s">
        <v>1247</v>
      </c>
      <c r="M215" s="18" t="s">
        <v>1248</v>
      </c>
      <c r="O215" s="18">
        <v>28349.66</v>
      </c>
      <c r="P215" s="18">
        <v>1.0</v>
      </c>
      <c r="Q215" s="18">
        <v>2.08027658E8</v>
      </c>
      <c r="R215" s="18">
        <v>4.011309095E10</v>
      </c>
      <c r="S215" s="18" t="s">
        <v>1249</v>
      </c>
      <c r="T215" s="18" t="s">
        <v>39</v>
      </c>
      <c r="U215" s="18" t="s">
        <v>40</v>
      </c>
      <c r="V215" s="18" t="s">
        <v>41</v>
      </c>
    </row>
    <row r="216" ht="15.75" customHeight="1">
      <c r="D216" s="18" t="s">
        <v>456</v>
      </c>
      <c r="E216" s="18">
        <f t="shared" si="7"/>
        <v>49.84305489</v>
      </c>
      <c r="G216" s="18" t="s">
        <v>1286</v>
      </c>
      <c r="H216" s="18" t="s">
        <v>1245</v>
      </c>
      <c r="I216" s="18" t="s">
        <v>70</v>
      </c>
      <c r="K216" s="18" t="s">
        <v>1246</v>
      </c>
      <c r="L216" s="18" t="s">
        <v>1247</v>
      </c>
      <c r="M216" s="18" t="s">
        <v>1248</v>
      </c>
      <c r="O216" s="18">
        <v>28347.15</v>
      </c>
      <c r="P216" s="18">
        <v>1.0</v>
      </c>
      <c r="Q216" s="18">
        <v>2.07134738E8</v>
      </c>
      <c r="R216" s="18">
        <v>3.9874443914E10</v>
      </c>
      <c r="S216" s="18" t="s">
        <v>1249</v>
      </c>
      <c r="T216" s="18" t="s">
        <v>39</v>
      </c>
      <c r="U216" s="18" t="s">
        <v>40</v>
      </c>
      <c r="V216" s="18" t="s">
        <v>41</v>
      </c>
    </row>
    <row r="217" ht="15.75" customHeight="1">
      <c r="B217" s="40">
        <v>1.0</v>
      </c>
      <c r="D217" s="18" t="s">
        <v>456</v>
      </c>
      <c r="E217" s="18">
        <f t="shared" si="7"/>
        <v>47.09716235</v>
      </c>
      <c r="G217" s="18" t="s">
        <v>1287</v>
      </c>
      <c r="H217" s="18" t="s">
        <v>1245</v>
      </c>
      <c r="I217" s="18" t="s">
        <v>70</v>
      </c>
      <c r="K217" s="18" t="s">
        <v>1246</v>
      </c>
      <c r="L217" s="18" t="s">
        <v>1247</v>
      </c>
      <c r="M217" s="18" t="s">
        <v>1248</v>
      </c>
      <c r="O217" s="18">
        <v>27299.48</v>
      </c>
      <c r="P217" s="18">
        <v>1.0</v>
      </c>
      <c r="Q217" s="18">
        <v>1.9463569E8</v>
      </c>
      <c r="R217" s="18">
        <v>3.7677729879E10</v>
      </c>
      <c r="S217" s="18" t="s">
        <v>1249</v>
      </c>
      <c r="T217" s="18" t="s">
        <v>39</v>
      </c>
      <c r="U217" s="18" t="s">
        <v>40</v>
      </c>
      <c r="V217" s="18" t="s">
        <v>41</v>
      </c>
    </row>
    <row r="218" ht="15.75" customHeight="1">
      <c r="B218" s="40">
        <v>1.0</v>
      </c>
      <c r="D218" s="18" t="s">
        <v>216</v>
      </c>
      <c r="E218" s="18">
        <f t="shared" si="7"/>
        <v>51.61932075</v>
      </c>
      <c r="G218" s="18" t="s">
        <v>1288</v>
      </c>
      <c r="H218" s="18" t="s">
        <v>46</v>
      </c>
      <c r="I218" s="18" t="s">
        <v>33</v>
      </c>
      <c r="J218" s="18" t="s">
        <v>47</v>
      </c>
      <c r="K218" s="18" t="s">
        <v>48</v>
      </c>
      <c r="L218" s="18" t="s">
        <v>49</v>
      </c>
      <c r="M218" s="18" t="s">
        <v>1289</v>
      </c>
      <c r="O218" s="18">
        <v>12836.77</v>
      </c>
      <c r="P218" s="18">
        <v>1.0</v>
      </c>
      <c r="Q218" s="18">
        <v>1.37651522E8</v>
      </c>
      <c r="R218" s="18">
        <v>4.12954566E10</v>
      </c>
      <c r="S218" s="18" t="s">
        <v>1290</v>
      </c>
      <c r="T218" s="18" t="s">
        <v>39</v>
      </c>
      <c r="U218" s="18" t="s">
        <v>40</v>
      </c>
      <c r="V218" s="18" t="s">
        <v>52</v>
      </c>
    </row>
    <row r="219" ht="15.75" customHeight="1">
      <c r="D219" s="18" t="s">
        <v>216</v>
      </c>
      <c r="E219" s="18">
        <f t="shared" si="7"/>
        <v>17.06207513</v>
      </c>
      <c r="G219" s="18" t="s">
        <v>1291</v>
      </c>
      <c r="H219" s="18" t="s">
        <v>1292</v>
      </c>
      <c r="I219" s="18" t="s">
        <v>33</v>
      </c>
      <c r="J219" s="18" t="s">
        <v>195</v>
      </c>
      <c r="K219" s="18" t="s">
        <v>211</v>
      </c>
      <c r="L219" s="18" t="s">
        <v>212</v>
      </c>
      <c r="M219" s="18" t="s">
        <v>1293</v>
      </c>
      <c r="O219" s="18">
        <v>4238.87</v>
      </c>
      <c r="P219" s="18">
        <v>1.0</v>
      </c>
      <c r="Q219" s="18">
        <v>4.5498867E7</v>
      </c>
      <c r="R219" s="18">
        <v>1.36496601E10</v>
      </c>
      <c r="S219" s="18" t="s">
        <v>1294</v>
      </c>
      <c r="T219" s="18" t="s">
        <v>39</v>
      </c>
      <c r="U219" s="18" t="s">
        <v>40</v>
      </c>
      <c r="V219" s="18" t="s">
        <v>41</v>
      </c>
    </row>
    <row r="220" ht="15.75" customHeight="1">
      <c r="D220" s="18" t="s">
        <v>216</v>
      </c>
      <c r="E220" s="18">
        <f t="shared" si="7"/>
        <v>16.65830175</v>
      </c>
      <c r="G220" s="18" t="s">
        <v>1295</v>
      </c>
      <c r="H220" s="18" t="s">
        <v>1292</v>
      </c>
      <c r="I220" s="18" t="s">
        <v>33</v>
      </c>
      <c r="J220" s="18" t="s">
        <v>195</v>
      </c>
      <c r="K220" s="18" t="s">
        <v>211</v>
      </c>
      <c r="L220" s="18" t="s">
        <v>212</v>
      </c>
      <c r="M220" s="18" t="s">
        <v>1296</v>
      </c>
      <c r="O220" s="18">
        <v>4112.9</v>
      </c>
      <c r="P220" s="18">
        <v>1.0</v>
      </c>
      <c r="Q220" s="18">
        <v>4.4422138E7</v>
      </c>
      <c r="R220" s="18">
        <v>1.33266414E10</v>
      </c>
      <c r="S220" s="18" t="s">
        <v>1297</v>
      </c>
      <c r="T220" s="18" t="s">
        <v>39</v>
      </c>
      <c r="U220" s="18" t="s">
        <v>40</v>
      </c>
      <c r="V220" s="18" t="s">
        <v>41</v>
      </c>
    </row>
    <row r="221" ht="15.75" customHeight="1">
      <c r="D221" s="18" t="s">
        <v>216</v>
      </c>
      <c r="E221" s="18">
        <f t="shared" si="7"/>
        <v>16.5128655</v>
      </c>
      <c r="G221" s="18" t="s">
        <v>1298</v>
      </c>
      <c r="H221" s="18" t="s">
        <v>1292</v>
      </c>
      <c r="I221" s="18" t="s">
        <v>33</v>
      </c>
      <c r="J221" s="18" t="s">
        <v>195</v>
      </c>
      <c r="K221" s="18" t="s">
        <v>211</v>
      </c>
      <c r="L221" s="18" t="s">
        <v>212</v>
      </c>
      <c r="M221" s="18" t="s">
        <v>1299</v>
      </c>
      <c r="O221" s="18">
        <v>4100.06</v>
      </c>
      <c r="P221" s="18">
        <v>1.0</v>
      </c>
      <c r="Q221" s="18">
        <v>4.4034308E7</v>
      </c>
      <c r="R221" s="18">
        <v>1.32102924E10</v>
      </c>
      <c r="S221" s="18" t="s">
        <v>1300</v>
      </c>
      <c r="T221" s="18" t="s">
        <v>39</v>
      </c>
      <c r="U221" s="18" t="s">
        <v>40</v>
      </c>
      <c r="V221" s="18" t="s">
        <v>41</v>
      </c>
    </row>
    <row r="222" ht="15.75" customHeight="1">
      <c r="D222" s="18" t="s">
        <v>216</v>
      </c>
      <c r="E222" s="18">
        <f t="shared" si="7"/>
        <v>13.65373388</v>
      </c>
      <c r="G222" s="18" t="s">
        <v>1301</v>
      </c>
      <c r="H222" s="18" t="s">
        <v>1292</v>
      </c>
      <c r="I222" s="18" t="s">
        <v>33</v>
      </c>
      <c r="J222" s="18" t="s">
        <v>195</v>
      </c>
      <c r="K222" s="18" t="s">
        <v>211</v>
      </c>
      <c r="L222" s="18" t="s">
        <v>212</v>
      </c>
      <c r="M222" s="18" t="s">
        <v>1302</v>
      </c>
      <c r="O222" s="18">
        <v>3469.94</v>
      </c>
      <c r="P222" s="18">
        <v>1.0</v>
      </c>
      <c r="Q222" s="18">
        <v>3.6409957E7</v>
      </c>
      <c r="R222" s="18">
        <v>1.09229871E10</v>
      </c>
      <c r="S222" s="18" t="s">
        <v>1303</v>
      </c>
      <c r="T222" s="18" t="s">
        <v>39</v>
      </c>
      <c r="U222" s="18" t="s">
        <v>40</v>
      </c>
      <c r="V222" s="18" t="s">
        <v>41</v>
      </c>
    </row>
    <row r="223" ht="15.75" customHeight="1">
      <c r="A223" s="40"/>
      <c r="D223" s="18" t="s">
        <v>468</v>
      </c>
      <c r="E223" s="18">
        <f t="shared" si="7"/>
        <v>45.86575703</v>
      </c>
      <c r="G223" s="55" t="s">
        <v>1304</v>
      </c>
      <c r="H223" s="18" t="s">
        <v>1245</v>
      </c>
      <c r="I223" s="18" t="s">
        <v>70</v>
      </c>
      <c r="K223" s="18" t="s">
        <v>1246</v>
      </c>
      <c r="L223" s="18" t="s">
        <v>1247</v>
      </c>
      <c r="M223" s="18" t="s">
        <v>1305</v>
      </c>
      <c r="O223" s="18">
        <v>23663.12</v>
      </c>
      <c r="P223" s="18">
        <v>1.0</v>
      </c>
      <c r="Q223" s="18">
        <v>1.85737206E8</v>
      </c>
      <c r="R223" s="18">
        <v>3.6692605623E10</v>
      </c>
      <c r="S223" s="18" t="s">
        <v>1306</v>
      </c>
      <c r="T223" s="18" t="s">
        <v>39</v>
      </c>
      <c r="U223" s="18" t="s">
        <v>40</v>
      </c>
      <c r="V223" s="18" t="s">
        <v>41</v>
      </c>
    </row>
    <row r="224" ht="15.75" customHeight="1">
      <c r="D224" s="18" t="s">
        <v>468</v>
      </c>
      <c r="E224" s="18">
        <f t="shared" si="7"/>
        <v>49.3776131</v>
      </c>
      <c r="G224" s="18" t="s">
        <v>1307</v>
      </c>
      <c r="H224" s="18" t="s">
        <v>1245</v>
      </c>
      <c r="I224" s="18" t="s">
        <v>70</v>
      </c>
      <c r="K224" s="18" t="s">
        <v>1246</v>
      </c>
      <c r="L224" s="18" t="s">
        <v>1247</v>
      </c>
      <c r="M224" s="18" t="s">
        <v>1305</v>
      </c>
      <c r="O224" s="18">
        <v>27526.36</v>
      </c>
      <c r="P224" s="18">
        <v>1.0</v>
      </c>
      <c r="Q224" s="18">
        <v>2.04037807E8</v>
      </c>
      <c r="R224" s="18">
        <v>3.9502090481E10</v>
      </c>
      <c r="S224" s="18" t="s">
        <v>1306</v>
      </c>
      <c r="T224" s="18" t="s">
        <v>39</v>
      </c>
      <c r="U224" s="18" t="s">
        <v>40</v>
      </c>
      <c r="V224" s="18" t="s">
        <v>41</v>
      </c>
    </row>
    <row r="225" ht="15.75" customHeight="1">
      <c r="D225" s="18" t="s">
        <v>468</v>
      </c>
      <c r="E225" s="18">
        <f t="shared" si="7"/>
        <v>48.60174229</v>
      </c>
      <c r="G225" s="18" t="s">
        <v>1308</v>
      </c>
      <c r="H225" s="18" t="s">
        <v>1245</v>
      </c>
      <c r="I225" s="18" t="s">
        <v>70</v>
      </c>
      <c r="K225" s="18" t="s">
        <v>1246</v>
      </c>
      <c r="L225" s="18" t="s">
        <v>1247</v>
      </c>
      <c r="M225" s="18" t="s">
        <v>1305</v>
      </c>
      <c r="O225" s="18">
        <v>25509.82</v>
      </c>
      <c r="P225" s="18">
        <v>1.0</v>
      </c>
      <c r="Q225" s="18">
        <v>1.97326849E8</v>
      </c>
      <c r="R225" s="18">
        <v>3.8881393835E10</v>
      </c>
      <c r="S225" s="18" t="s">
        <v>1306</v>
      </c>
      <c r="T225" s="18" t="s">
        <v>39</v>
      </c>
      <c r="U225" s="18" t="s">
        <v>40</v>
      </c>
      <c r="V225" s="18" t="s">
        <v>41</v>
      </c>
    </row>
    <row r="226" ht="15.75" customHeight="1">
      <c r="D226" s="18" t="s">
        <v>468</v>
      </c>
      <c r="E226" s="18">
        <f t="shared" si="7"/>
        <v>48.4518723</v>
      </c>
      <c r="G226" s="18" t="s">
        <v>1309</v>
      </c>
      <c r="H226" s="18" t="s">
        <v>1245</v>
      </c>
      <c r="I226" s="18" t="s">
        <v>70</v>
      </c>
      <c r="K226" s="18" t="s">
        <v>1246</v>
      </c>
      <c r="L226" s="18" t="s">
        <v>1247</v>
      </c>
      <c r="M226" s="18" t="s">
        <v>1305</v>
      </c>
      <c r="O226" s="18">
        <v>25439.24</v>
      </c>
      <c r="P226" s="18">
        <v>1.0</v>
      </c>
      <c r="Q226" s="18">
        <v>1.9658993E8</v>
      </c>
      <c r="R226" s="18">
        <v>3.8761497841E10</v>
      </c>
      <c r="S226" s="18" t="s">
        <v>1306</v>
      </c>
      <c r="T226" s="18" t="s">
        <v>39</v>
      </c>
      <c r="U226" s="18" t="s">
        <v>40</v>
      </c>
      <c r="V226" s="18" t="s">
        <v>41</v>
      </c>
    </row>
    <row r="227" ht="15.75" customHeight="1">
      <c r="D227" s="18" t="s">
        <v>468</v>
      </c>
      <c r="E227" s="18">
        <f t="shared" si="7"/>
        <v>48.05521614</v>
      </c>
      <c r="G227" s="18" t="s">
        <v>1310</v>
      </c>
      <c r="H227" s="18" t="s">
        <v>1245</v>
      </c>
      <c r="I227" s="18" t="s">
        <v>70</v>
      </c>
      <c r="K227" s="18" t="s">
        <v>1246</v>
      </c>
      <c r="L227" s="18" t="s">
        <v>1247</v>
      </c>
      <c r="M227" s="18" t="s">
        <v>1305</v>
      </c>
      <c r="O227" s="18">
        <v>25151.72</v>
      </c>
      <c r="P227" s="18">
        <v>1.0</v>
      </c>
      <c r="Q227" s="18">
        <v>1.95064158E8</v>
      </c>
      <c r="R227" s="18">
        <v>3.8444172908E10</v>
      </c>
      <c r="S227" s="18" t="s">
        <v>1306</v>
      </c>
      <c r="T227" s="18" t="s">
        <v>39</v>
      </c>
      <c r="U227" s="18" t="s">
        <v>40</v>
      </c>
      <c r="V227" s="18" t="s">
        <v>41</v>
      </c>
    </row>
    <row r="228" ht="15.75" customHeight="1">
      <c r="D228" s="18" t="s">
        <v>468</v>
      </c>
      <c r="E228" s="18">
        <f t="shared" si="7"/>
        <v>47.93430126</v>
      </c>
      <c r="G228" s="18" t="s">
        <v>1311</v>
      </c>
      <c r="H228" s="18" t="s">
        <v>1245</v>
      </c>
      <c r="I228" s="18" t="s">
        <v>70</v>
      </c>
      <c r="K228" s="18" t="s">
        <v>1246</v>
      </c>
      <c r="L228" s="18" t="s">
        <v>1247</v>
      </c>
      <c r="M228" s="18" t="s">
        <v>1305</v>
      </c>
      <c r="O228" s="18">
        <v>25256.84</v>
      </c>
      <c r="P228" s="18">
        <v>1.0</v>
      </c>
      <c r="Q228" s="18">
        <v>1.95162651E8</v>
      </c>
      <c r="R228" s="18">
        <v>3.8347441006E10</v>
      </c>
      <c r="S228" s="18" t="s">
        <v>1306</v>
      </c>
      <c r="T228" s="18" t="s">
        <v>39</v>
      </c>
      <c r="U228" s="18" t="s">
        <v>40</v>
      </c>
      <c r="V228" s="18" t="s">
        <v>41</v>
      </c>
    </row>
    <row r="229" ht="15.75" customHeight="1">
      <c r="D229" s="18" t="s">
        <v>468</v>
      </c>
      <c r="E229" s="18">
        <f t="shared" si="7"/>
        <v>47.92875508</v>
      </c>
      <c r="G229" s="18" t="s">
        <v>1312</v>
      </c>
      <c r="H229" s="18" t="s">
        <v>1245</v>
      </c>
      <c r="I229" s="18" t="s">
        <v>70</v>
      </c>
      <c r="K229" s="18" t="s">
        <v>1246</v>
      </c>
      <c r="L229" s="18" t="s">
        <v>1247</v>
      </c>
      <c r="M229" s="18" t="s">
        <v>1305</v>
      </c>
      <c r="O229" s="18">
        <v>25145.67</v>
      </c>
      <c r="P229" s="18">
        <v>1.0</v>
      </c>
      <c r="Q229" s="18">
        <v>1.94587544E8</v>
      </c>
      <c r="R229" s="18">
        <v>3.8343004063E10</v>
      </c>
      <c r="S229" s="18" t="s">
        <v>1306</v>
      </c>
      <c r="T229" s="18" t="s">
        <v>39</v>
      </c>
      <c r="U229" s="18" t="s">
        <v>40</v>
      </c>
      <c r="V229" s="18" t="s">
        <v>41</v>
      </c>
    </row>
    <row r="230" ht="15.75" customHeight="1">
      <c r="D230" s="18" t="s">
        <v>468</v>
      </c>
      <c r="E230" s="18">
        <f t="shared" si="7"/>
        <v>47.72909461</v>
      </c>
      <c r="G230" s="18" t="s">
        <v>1313</v>
      </c>
      <c r="H230" s="18" t="s">
        <v>1245</v>
      </c>
      <c r="I230" s="18" t="s">
        <v>70</v>
      </c>
      <c r="K230" s="18" t="s">
        <v>1246</v>
      </c>
      <c r="L230" s="18" t="s">
        <v>1247</v>
      </c>
      <c r="M230" s="18" t="s">
        <v>1305</v>
      </c>
      <c r="O230" s="18">
        <v>24864.69</v>
      </c>
      <c r="P230" s="18">
        <v>1.0</v>
      </c>
      <c r="Q230" s="18">
        <v>1.93467852E8</v>
      </c>
      <c r="R230" s="18">
        <v>3.818327569E10</v>
      </c>
      <c r="S230" s="18" t="s">
        <v>1306</v>
      </c>
      <c r="T230" s="18" t="s">
        <v>39</v>
      </c>
      <c r="U230" s="18" t="s">
        <v>40</v>
      </c>
      <c r="V230" s="18" t="s">
        <v>41</v>
      </c>
    </row>
    <row r="231" ht="15.75" customHeight="1">
      <c r="B231" s="40">
        <v>1.0</v>
      </c>
      <c r="D231" s="18" t="s">
        <v>468</v>
      </c>
      <c r="E231" s="18">
        <f t="shared" si="7"/>
        <v>47.6612544</v>
      </c>
      <c r="G231" s="18" t="s">
        <v>1314</v>
      </c>
      <c r="H231" s="18" t="s">
        <v>1245</v>
      </c>
      <c r="I231" s="18" t="s">
        <v>70</v>
      </c>
      <c r="K231" s="18" t="s">
        <v>1246</v>
      </c>
      <c r="L231" s="18" t="s">
        <v>1247</v>
      </c>
      <c r="M231" s="18" t="s">
        <v>1305</v>
      </c>
      <c r="O231" s="18">
        <v>25001.75</v>
      </c>
      <c r="P231" s="18">
        <v>1.0</v>
      </c>
      <c r="Q231" s="18">
        <v>1.93702939E8</v>
      </c>
      <c r="R231" s="18">
        <v>3.8129003519E10</v>
      </c>
      <c r="S231" s="18" t="s">
        <v>1306</v>
      </c>
      <c r="T231" s="18" t="s">
        <v>39</v>
      </c>
      <c r="U231" s="18" t="s">
        <v>40</v>
      </c>
      <c r="V231" s="18" t="s">
        <v>41</v>
      </c>
    </row>
    <row r="232" ht="15.75" customHeight="1">
      <c r="D232" s="18" t="s">
        <v>468</v>
      </c>
      <c r="E232" s="18">
        <f t="shared" si="7"/>
        <v>13.90194839</v>
      </c>
      <c r="G232" s="18" t="s">
        <v>1315</v>
      </c>
      <c r="H232" s="18" t="s">
        <v>1245</v>
      </c>
      <c r="I232" s="18" t="s">
        <v>70</v>
      </c>
      <c r="K232" s="18" t="s">
        <v>1246</v>
      </c>
      <c r="L232" s="18" t="s">
        <v>1247</v>
      </c>
      <c r="M232" s="18" t="s">
        <v>1305</v>
      </c>
      <c r="O232" s="18">
        <v>8146.5</v>
      </c>
      <c r="P232" s="18">
        <v>1.0</v>
      </c>
      <c r="Q232" s="18">
        <v>5.7726741E7</v>
      </c>
      <c r="R232" s="18">
        <v>1.1121558713E10</v>
      </c>
      <c r="S232" s="18" t="s">
        <v>1306</v>
      </c>
      <c r="T232" s="18" t="s">
        <v>39</v>
      </c>
      <c r="U232" s="18" t="s">
        <v>40</v>
      </c>
      <c r="V232" s="18" t="s">
        <v>41</v>
      </c>
    </row>
    <row r="233" ht="15.75" customHeight="1">
      <c r="A233" s="40"/>
      <c r="D233" s="18" t="s">
        <v>1316</v>
      </c>
      <c r="E233" s="18">
        <f t="shared" si="7"/>
        <v>45.57808322</v>
      </c>
      <c r="G233" s="55" t="s">
        <v>1317</v>
      </c>
      <c r="H233" s="18" t="s">
        <v>1245</v>
      </c>
      <c r="I233" s="18" t="s">
        <v>70</v>
      </c>
      <c r="K233" s="18" t="s">
        <v>1246</v>
      </c>
      <c r="L233" s="18" t="s">
        <v>1247</v>
      </c>
      <c r="M233" s="18" t="s">
        <v>1318</v>
      </c>
      <c r="O233" s="18">
        <v>26516.29</v>
      </c>
      <c r="P233" s="18">
        <v>1.0</v>
      </c>
      <c r="Q233" s="18">
        <v>1.88155737E8</v>
      </c>
      <c r="R233" s="18">
        <v>3.6462466573E10</v>
      </c>
      <c r="S233" s="18" t="s">
        <v>1319</v>
      </c>
      <c r="T233" s="18" t="s">
        <v>39</v>
      </c>
      <c r="U233" s="18" t="s">
        <v>40</v>
      </c>
      <c r="V233" s="18" t="s">
        <v>41</v>
      </c>
    </row>
    <row r="234" ht="15.75" customHeight="1">
      <c r="D234" s="18" t="s">
        <v>1316</v>
      </c>
      <c r="E234" s="18">
        <f t="shared" si="7"/>
        <v>52.60472711</v>
      </c>
      <c r="G234" s="18" t="s">
        <v>1320</v>
      </c>
      <c r="H234" s="18" t="s">
        <v>1245</v>
      </c>
      <c r="I234" s="18" t="s">
        <v>70</v>
      </c>
      <c r="K234" s="18" t="s">
        <v>1246</v>
      </c>
      <c r="L234" s="18" t="s">
        <v>1247</v>
      </c>
      <c r="M234" s="18" t="s">
        <v>1318</v>
      </c>
      <c r="O234" s="18">
        <v>30522.52</v>
      </c>
      <c r="P234" s="18">
        <v>1.0</v>
      </c>
      <c r="Q234" s="18">
        <v>2.19095524E8</v>
      </c>
      <c r="R234" s="18">
        <v>4.2083781684E10</v>
      </c>
      <c r="S234" s="18" t="s">
        <v>1319</v>
      </c>
      <c r="T234" s="18" t="s">
        <v>39</v>
      </c>
      <c r="U234" s="18" t="s">
        <v>40</v>
      </c>
      <c r="V234" s="18" t="s">
        <v>41</v>
      </c>
    </row>
    <row r="235" ht="15.75" customHeight="1">
      <c r="D235" s="18" t="s">
        <v>1316</v>
      </c>
      <c r="E235" s="18">
        <f t="shared" si="7"/>
        <v>46.51126087</v>
      </c>
      <c r="G235" s="18" t="s">
        <v>1321</v>
      </c>
      <c r="H235" s="18" t="s">
        <v>1245</v>
      </c>
      <c r="I235" s="18" t="s">
        <v>70</v>
      </c>
      <c r="K235" s="18" t="s">
        <v>1246</v>
      </c>
      <c r="L235" s="18" t="s">
        <v>1247</v>
      </c>
      <c r="M235" s="18" t="s">
        <v>1318</v>
      </c>
      <c r="O235" s="18">
        <v>26781.89</v>
      </c>
      <c r="P235" s="18">
        <v>1.0</v>
      </c>
      <c r="Q235" s="18">
        <v>1.9176722E8</v>
      </c>
      <c r="R235" s="18">
        <v>3.7209008699E10</v>
      </c>
      <c r="S235" s="18" t="s">
        <v>1319</v>
      </c>
      <c r="T235" s="18" t="s">
        <v>39</v>
      </c>
      <c r="U235" s="18" t="s">
        <v>40</v>
      </c>
      <c r="V235" s="18" t="s">
        <v>41</v>
      </c>
    </row>
    <row r="236" ht="15.75" customHeight="1">
      <c r="D236" s="18" t="s">
        <v>1316</v>
      </c>
      <c r="E236" s="18">
        <f t="shared" si="7"/>
        <v>46.33273045</v>
      </c>
      <c r="G236" s="18" t="s">
        <v>1322</v>
      </c>
      <c r="H236" s="18" t="s">
        <v>1245</v>
      </c>
      <c r="I236" s="18" t="s">
        <v>70</v>
      </c>
      <c r="K236" s="18" t="s">
        <v>1246</v>
      </c>
      <c r="L236" s="18" t="s">
        <v>1247</v>
      </c>
      <c r="M236" s="18" t="s">
        <v>1318</v>
      </c>
      <c r="O236" s="18">
        <v>26773.9</v>
      </c>
      <c r="P236" s="18">
        <v>1.0</v>
      </c>
      <c r="Q236" s="18">
        <v>1.91171798E8</v>
      </c>
      <c r="R236" s="18">
        <v>3.7066184361E10</v>
      </c>
      <c r="S236" s="18" t="s">
        <v>1319</v>
      </c>
      <c r="T236" s="18" t="s">
        <v>39</v>
      </c>
      <c r="U236" s="18" t="s">
        <v>40</v>
      </c>
      <c r="V236" s="18" t="s">
        <v>41</v>
      </c>
    </row>
    <row r="237" ht="15.75" customHeight="1">
      <c r="D237" s="18" t="s">
        <v>1316</v>
      </c>
      <c r="E237" s="18">
        <f t="shared" si="7"/>
        <v>46.20253934</v>
      </c>
      <c r="G237" s="18" t="s">
        <v>1323</v>
      </c>
      <c r="H237" s="18" t="s">
        <v>1245</v>
      </c>
      <c r="I237" s="18" t="s">
        <v>70</v>
      </c>
      <c r="K237" s="18" t="s">
        <v>1246</v>
      </c>
      <c r="L237" s="18" t="s">
        <v>1247</v>
      </c>
      <c r="M237" s="18" t="s">
        <v>1318</v>
      </c>
      <c r="O237" s="18">
        <v>26701.07</v>
      </c>
      <c r="P237" s="18">
        <v>1.0</v>
      </c>
      <c r="Q237" s="18">
        <v>1.90441373E8</v>
      </c>
      <c r="R237" s="18">
        <v>3.6962031472E10</v>
      </c>
      <c r="S237" s="18" t="s">
        <v>1319</v>
      </c>
      <c r="T237" s="18" t="s">
        <v>39</v>
      </c>
      <c r="U237" s="18" t="s">
        <v>40</v>
      </c>
      <c r="V237" s="18" t="s">
        <v>41</v>
      </c>
    </row>
    <row r="238" ht="15.75" customHeight="1">
      <c r="D238" s="18" t="s">
        <v>1316</v>
      </c>
      <c r="E238" s="18">
        <f t="shared" si="7"/>
        <v>46.08337603</v>
      </c>
      <c r="G238" s="18" t="s">
        <v>1324</v>
      </c>
      <c r="H238" s="18" t="s">
        <v>1245</v>
      </c>
      <c r="I238" s="18" t="s">
        <v>70</v>
      </c>
      <c r="K238" s="18" t="s">
        <v>1246</v>
      </c>
      <c r="L238" s="18" t="s">
        <v>1247</v>
      </c>
      <c r="M238" s="18" t="s">
        <v>1318</v>
      </c>
      <c r="O238" s="18">
        <v>26710.86</v>
      </c>
      <c r="P238" s="18">
        <v>1.0</v>
      </c>
      <c r="Q238" s="18">
        <v>1.90367521E8</v>
      </c>
      <c r="R238" s="18">
        <v>3.6866700823E10</v>
      </c>
      <c r="S238" s="18" t="s">
        <v>1319</v>
      </c>
      <c r="T238" s="18" t="s">
        <v>39</v>
      </c>
      <c r="U238" s="18" t="s">
        <v>40</v>
      </c>
      <c r="V238" s="18" t="s">
        <v>41</v>
      </c>
    </row>
    <row r="239" ht="15.75" customHeight="1">
      <c r="D239" s="18" t="s">
        <v>1316</v>
      </c>
      <c r="E239" s="18">
        <f t="shared" si="7"/>
        <v>46.02149876</v>
      </c>
      <c r="G239" s="18" t="s">
        <v>1325</v>
      </c>
      <c r="H239" s="18" t="s">
        <v>1245</v>
      </c>
      <c r="I239" s="18" t="s">
        <v>70</v>
      </c>
      <c r="K239" s="18" t="s">
        <v>1246</v>
      </c>
      <c r="L239" s="18" t="s">
        <v>1247</v>
      </c>
      <c r="M239" s="18" t="s">
        <v>1318</v>
      </c>
      <c r="O239" s="18">
        <v>26541.57</v>
      </c>
      <c r="P239" s="18">
        <v>1.0</v>
      </c>
      <c r="Q239" s="18">
        <v>1.89689722E8</v>
      </c>
      <c r="R239" s="18">
        <v>3.6817199007E10</v>
      </c>
      <c r="S239" s="18" t="s">
        <v>1319</v>
      </c>
      <c r="T239" s="18" t="s">
        <v>39</v>
      </c>
      <c r="U239" s="18" t="s">
        <v>40</v>
      </c>
      <c r="V239" s="18" t="s">
        <v>41</v>
      </c>
    </row>
    <row r="240" ht="15.75" customHeight="1">
      <c r="D240" s="18" t="s">
        <v>1316</v>
      </c>
      <c r="E240" s="18">
        <f t="shared" si="7"/>
        <v>45.94941894</v>
      </c>
      <c r="G240" s="18" t="s">
        <v>1326</v>
      </c>
      <c r="H240" s="18" t="s">
        <v>1245</v>
      </c>
      <c r="I240" s="18" t="s">
        <v>70</v>
      </c>
      <c r="K240" s="18" t="s">
        <v>1246</v>
      </c>
      <c r="L240" s="18" t="s">
        <v>1247</v>
      </c>
      <c r="M240" s="18" t="s">
        <v>1318</v>
      </c>
      <c r="O240" s="18">
        <v>26567.45</v>
      </c>
      <c r="P240" s="18">
        <v>1.0</v>
      </c>
      <c r="Q240" s="18">
        <v>1.89516772E8</v>
      </c>
      <c r="R240" s="18">
        <v>3.6759535152E10</v>
      </c>
      <c r="S240" s="18" t="s">
        <v>1319</v>
      </c>
      <c r="T240" s="18" t="s">
        <v>39</v>
      </c>
      <c r="U240" s="18" t="s">
        <v>40</v>
      </c>
      <c r="V240" s="18" t="s">
        <v>41</v>
      </c>
    </row>
    <row r="241" ht="15.75" customHeight="1">
      <c r="B241" s="40"/>
      <c r="D241" s="18" t="s">
        <v>1316</v>
      </c>
      <c r="E241" s="18">
        <f t="shared" si="7"/>
        <v>40.47003193</v>
      </c>
      <c r="G241" s="18" t="s">
        <v>1327</v>
      </c>
      <c r="H241" s="18" t="s">
        <v>1245</v>
      </c>
      <c r="I241" s="18" t="s">
        <v>70</v>
      </c>
      <c r="K241" s="18" t="s">
        <v>1246</v>
      </c>
      <c r="L241" s="18" t="s">
        <v>1247</v>
      </c>
      <c r="M241" s="18" t="s">
        <v>1318</v>
      </c>
      <c r="O241" s="18">
        <v>21311.45</v>
      </c>
      <c r="P241" s="18">
        <v>1.0</v>
      </c>
      <c r="Q241" s="18">
        <v>1.63677654E8</v>
      </c>
      <c r="R241" s="18">
        <v>3.2376025542E10</v>
      </c>
      <c r="S241" s="18" t="s">
        <v>1319</v>
      </c>
      <c r="T241" s="18" t="s">
        <v>39</v>
      </c>
      <c r="U241" s="18" t="s">
        <v>40</v>
      </c>
      <c r="V241" s="18" t="s">
        <v>41</v>
      </c>
    </row>
    <row r="242" ht="15.75" customHeight="1">
      <c r="D242" s="18" t="s">
        <v>1316</v>
      </c>
      <c r="E242" s="18">
        <f t="shared" si="7"/>
        <v>14.81635653</v>
      </c>
      <c r="G242" s="18" t="s">
        <v>1328</v>
      </c>
      <c r="H242" s="18" t="s">
        <v>1245</v>
      </c>
      <c r="I242" s="18" t="s">
        <v>70</v>
      </c>
      <c r="K242" s="18" t="s">
        <v>1246</v>
      </c>
      <c r="L242" s="18" t="s">
        <v>1247</v>
      </c>
      <c r="M242" s="18" t="s">
        <v>1318</v>
      </c>
      <c r="O242" s="18">
        <v>8619.81</v>
      </c>
      <c r="P242" s="18">
        <v>1.0</v>
      </c>
      <c r="Q242" s="18">
        <v>6.1321946E7</v>
      </c>
      <c r="R242" s="18">
        <v>1.1853085223E10</v>
      </c>
      <c r="S242" s="18" t="s">
        <v>1319</v>
      </c>
      <c r="T242" s="18" t="s">
        <v>39</v>
      </c>
      <c r="U242" s="18" t="s">
        <v>40</v>
      </c>
      <c r="V242" s="18" t="s">
        <v>41</v>
      </c>
    </row>
    <row r="243" ht="15.75" customHeight="1">
      <c r="B243" s="18">
        <v>1.0</v>
      </c>
      <c r="D243" s="18" t="s">
        <v>228</v>
      </c>
      <c r="E243" s="18">
        <f t="shared" si="7"/>
        <v>16.13418038</v>
      </c>
      <c r="G243" s="18" t="s">
        <v>1329</v>
      </c>
      <c r="H243" s="18" t="s">
        <v>231</v>
      </c>
      <c r="I243" s="18" t="s">
        <v>33</v>
      </c>
      <c r="J243" s="18" t="s">
        <v>195</v>
      </c>
      <c r="K243" s="18" t="s">
        <v>211</v>
      </c>
      <c r="L243" s="18" t="s">
        <v>212</v>
      </c>
      <c r="M243" s="18" t="s">
        <v>1330</v>
      </c>
      <c r="O243" s="18">
        <v>4058.71</v>
      </c>
      <c r="P243" s="18">
        <v>1.0</v>
      </c>
      <c r="Q243" s="18">
        <v>4.3024481E7</v>
      </c>
      <c r="R243" s="18">
        <v>1.29073443E10</v>
      </c>
      <c r="S243" s="18" t="s">
        <v>1331</v>
      </c>
      <c r="T243" s="18" t="s">
        <v>39</v>
      </c>
      <c r="U243" s="18" t="s">
        <v>40</v>
      </c>
      <c r="V243" s="18" t="s">
        <v>41</v>
      </c>
    </row>
    <row r="244" ht="15.75" customHeight="1">
      <c r="D244" s="18" t="s">
        <v>228</v>
      </c>
      <c r="E244" s="18">
        <f t="shared" si="7"/>
        <v>14.91530813</v>
      </c>
      <c r="G244" s="18" t="s">
        <v>1332</v>
      </c>
      <c r="H244" s="18" t="s">
        <v>1333</v>
      </c>
      <c r="I244" s="18" t="s">
        <v>33</v>
      </c>
      <c r="J244" s="18" t="s">
        <v>195</v>
      </c>
      <c r="K244" s="18" t="s">
        <v>211</v>
      </c>
      <c r="L244" s="18" t="s">
        <v>212</v>
      </c>
      <c r="M244" s="18" t="s">
        <v>1334</v>
      </c>
      <c r="O244" s="18">
        <v>3801.1</v>
      </c>
      <c r="P244" s="18">
        <v>1.0</v>
      </c>
      <c r="Q244" s="18">
        <v>3.9774155E7</v>
      </c>
      <c r="R244" s="18">
        <v>1.19322465E10</v>
      </c>
      <c r="S244" s="18" t="s">
        <v>1335</v>
      </c>
      <c r="T244" s="18" t="s">
        <v>39</v>
      </c>
      <c r="U244" s="18" t="s">
        <v>40</v>
      </c>
      <c r="V244" s="18" t="s">
        <v>41</v>
      </c>
    </row>
    <row r="245" ht="15.75" customHeight="1">
      <c r="A245" s="40"/>
      <c r="D245" s="18" t="s">
        <v>474</v>
      </c>
      <c r="E245" s="18">
        <f t="shared" si="7"/>
        <v>68.98280693</v>
      </c>
      <c r="G245" s="55" t="s">
        <v>1336</v>
      </c>
      <c r="H245" s="18" t="s">
        <v>1337</v>
      </c>
      <c r="I245" s="18" t="s">
        <v>70</v>
      </c>
      <c r="K245" s="18" t="s">
        <v>1338</v>
      </c>
      <c r="L245" s="18" t="s">
        <v>1339</v>
      </c>
      <c r="M245" s="18" t="s">
        <v>1340</v>
      </c>
      <c r="O245" s="18">
        <v>32010.09</v>
      </c>
      <c r="P245" s="18">
        <v>1.0</v>
      </c>
      <c r="Q245" s="18">
        <v>1.340008E8</v>
      </c>
      <c r="R245" s="18">
        <v>5.5186245541E10</v>
      </c>
      <c r="S245" s="18" t="s">
        <v>1341</v>
      </c>
      <c r="T245" s="18" t="s">
        <v>39</v>
      </c>
      <c r="U245" s="18" t="s">
        <v>40</v>
      </c>
      <c r="V245" s="18" t="s">
        <v>41</v>
      </c>
    </row>
    <row r="246" ht="15.75" customHeight="1">
      <c r="D246" s="18" t="s">
        <v>474</v>
      </c>
      <c r="E246" s="18">
        <f t="shared" si="7"/>
        <v>121.955656</v>
      </c>
      <c r="G246" s="18" t="s">
        <v>1342</v>
      </c>
      <c r="H246" s="18" t="s">
        <v>1251</v>
      </c>
      <c r="I246" s="18" t="s">
        <v>427</v>
      </c>
      <c r="J246" s="18" t="s">
        <v>1252</v>
      </c>
      <c r="K246" s="18" t="s">
        <v>1253</v>
      </c>
      <c r="L246" s="18" t="s">
        <v>1254</v>
      </c>
      <c r="M246" s="18" t="s">
        <v>1343</v>
      </c>
      <c r="O246" s="18">
        <v>39516.66</v>
      </c>
      <c r="P246" s="18">
        <v>1.0</v>
      </c>
      <c r="Q246" s="18">
        <v>3.25913695E8</v>
      </c>
      <c r="R246" s="18">
        <v>9.7564524831E10</v>
      </c>
      <c r="S246" s="18" t="s">
        <v>1344</v>
      </c>
      <c r="T246" s="18" t="s">
        <v>39</v>
      </c>
      <c r="U246" s="18" t="s">
        <v>40</v>
      </c>
      <c r="V246" s="18" t="s">
        <v>41</v>
      </c>
    </row>
    <row r="247" ht="15.75" customHeight="1">
      <c r="D247" s="18" t="s">
        <v>474</v>
      </c>
      <c r="E247" s="18">
        <f t="shared" si="7"/>
        <v>95.91173191</v>
      </c>
      <c r="G247" s="18" t="s">
        <v>1345</v>
      </c>
      <c r="H247" s="18" t="s">
        <v>1346</v>
      </c>
      <c r="I247" s="18" t="s">
        <v>427</v>
      </c>
      <c r="J247" s="18" t="s">
        <v>460</v>
      </c>
      <c r="K247" s="18" t="s">
        <v>461</v>
      </c>
      <c r="L247" s="18" t="s">
        <v>462</v>
      </c>
      <c r="M247" s="18" t="s">
        <v>1347</v>
      </c>
      <c r="O247" s="18">
        <v>33162.15</v>
      </c>
      <c r="P247" s="18">
        <v>1.0</v>
      </c>
      <c r="Q247" s="18">
        <v>2.54070813E8</v>
      </c>
      <c r="R247" s="18">
        <v>7.6729385526E10</v>
      </c>
      <c r="S247" s="18" t="s">
        <v>1348</v>
      </c>
      <c r="T247" s="18" t="s">
        <v>39</v>
      </c>
      <c r="U247" s="18" t="s">
        <v>40</v>
      </c>
      <c r="V247" s="18" t="s">
        <v>404</v>
      </c>
    </row>
    <row r="248" ht="15.75" customHeight="1">
      <c r="B248" s="40">
        <v>1.0</v>
      </c>
      <c r="D248" s="18" t="s">
        <v>474</v>
      </c>
      <c r="E248" s="18">
        <f t="shared" si="7"/>
        <v>82.92590114</v>
      </c>
      <c r="G248" s="18" t="s">
        <v>1349</v>
      </c>
      <c r="H248" s="18" t="s">
        <v>1337</v>
      </c>
      <c r="I248" s="18" t="s">
        <v>70</v>
      </c>
      <c r="K248" s="18" t="s">
        <v>1338</v>
      </c>
      <c r="L248" s="18" t="s">
        <v>1339</v>
      </c>
      <c r="M248" s="18" t="s">
        <v>1350</v>
      </c>
      <c r="O248" s="18">
        <v>39523.8</v>
      </c>
      <c r="P248" s="18">
        <v>1.0</v>
      </c>
      <c r="Q248" s="18">
        <v>1.41600651E8</v>
      </c>
      <c r="R248" s="18">
        <v>6.6340720909E10</v>
      </c>
      <c r="S248" s="18" t="s">
        <v>1351</v>
      </c>
      <c r="T248" s="18" t="s">
        <v>39</v>
      </c>
      <c r="U248" s="18" t="s">
        <v>40</v>
      </c>
      <c r="V248" s="18" t="s">
        <v>41</v>
      </c>
    </row>
    <row r="249" ht="15.75" customHeight="1">
      <c r="D249" s="18" t="s">
        <v>474</v>
      </c>
      <c r="E249" s="18">
        <f t="shared" si="7"/>
        <v>78.77662296</v>
      </c>
      <c r="G249" s="18" t="s">
        <v>1352</v>
      </c>
      <c r="H249" s="18" t="s">
        <v>1337</v>
      </c>
      <c r="I249" s="18" t="s">
        <v>70</v>
      </c>
      <c r="K249" s="18" t="s">
        <v>1338</v>
      </c>
      <c r="L249" s="18" t="s">
        <v>1339</v>
      </c>
      <c r="M249" s="18" t="s">
        <v>1353</v>
      </c>
      <c r="O249" s="18">
        <v>35878.05</v>
      </c>
      <c r="P249" s="18">
        <v>1.0</v>
      </c>
      <c r="Q249" s="18">
        <v>1.32162999E8</v>
      </c>
      <c r="R249" s="18">
        <v>6.3021298371E10</v>
      </c>
      <c r="S249" s="18" t="s">
        <v>1354</v>
      </c>
      <c r="T249" s="18" t="s">
        <v>39</v>
      </c>
      <c r="U249" s="18" t="s">
        <v>40</v>
      </c>
      <c r="V249" s="18" t="s">
        <v>41</v>
      </c>
    </row>
    <row r="250" ht="15.75" customHeight="1">
      <c r="D250" s="18" t="s">
        <v>474</v>
      </c>
      <c r="E250" s="18">
        <f t="shared" si="7"/>
        <v>76.75805318</v>
      </c>
      <c r="G250" s="18" t="s">
        <v>1355</v>
      </c>
      <c r="H250" s="18" t="s">
        <v>1337</v>
      </c>
      <c r="I250" s="18" t="s">
        <v>70</v>
      </c>
      <c r="K250" s="18" t="s">
        <v>1338</v>
      </c>
      <c r="L250" s="18" t="s">
        <v>1339</v>
      </c>
      <c r="M250" s="18" t="s">
        <v>1353</v>
      </c>
      <c r="O250" s="18">
        <v>35061.16</v>
      </c>
      <c r="P250" s="18">
        <v>1.0</v>
      </c>
      <c r="Q250" s="18">
        <v>1.29340482E8</v>
      </c>
      <c r="R250" s="18">
        <v>6.1406442546E10</v>
      </c>
      <c r="S250" s="18" t="s">
        <v>1354</v>
      </c>
      <c r="T250" s="18" t="s">
        <v>39</v>
      </c>
      <c r="U250" s="18" t="s">
        <v>40</v>
      </c>
      <c r="V250" s="18" t="s">
        <v>41</v>
      </c>
    </row>
    <row r="251" ht="15.75" customHeight="1">
      <c r="D251" s="18" t="s">
        <v>474</v>
      </c>
      <c r="E251" s="18">
        <f t="shared" si="7"/>
        <v>74.15614329</v>
      </c>
      <c r="G251" s="18" t="s">
        <v>1356</v>
      </c>
      <c r="H251" s="18" t="s">
        <v>1337</v>
      </c>
      <c r="I251" s="18" t="s">
        <v>70</v>
      </c>
      <c r="K251" s="18" t="s">
        <v>1338</v>
      </c>
      <c r="L251" s="18" t="s">
        <v>1339</v>
      </c>
      <c r="M251" s="18" t="s">
        <v>1340</v>
      </c>
      <c r="O251" s="18">
        <v>35550.57</v>
      </c>
      <c r="P251" s="18">
        <v>1.0</v>
      </c>
      <c r="Q251" s="18">
        <v>1.27908274E8</v>
      </c>
      <c r="R251" s="18">
        <v>5.9324914635E10</v>
      </c>
      <c r="S251" s="18" t="s">
        <v>1341</v>
      </c>
      <c r="T251" s="18" t="s">
        <v>39</v>
      </c>
      <c r="U251" s="18" t="s">
        <v>40</v>
      </c>
      <c r="V251" s="18" t="s">
        <v>41</v>
      </c>
    </row>
    <row r="252" ht="15.75" customHeight="1">
      <c r="B252" s="40">
        <v>1.0</v>
      </c>
      <c r="D252" s="18" t="s">
        <v>474</v>
      </c>
      <c r="E252" s="18">
        <f t="shared" si="7"/>
        <v>67.69824402</v>
      </c>
      <c r="G252" s="18" t="s">
        <v>1357</v>
      </c>
      <c r="H252" s="18" t="s">
        <v>1337</v>
      </c>
      <c r="I252" s="18" t="s">
        <v>70</v>
      </c>
      <c r="K252" s="18" t="s">
        <v>1338</v>
      </c>
      <c r="L252" s="18" t="s">
        <v>1339</v>
      </c>
      <c r="M252" s="18" t="s">
        <v>1353</v>
      </c>
      <c r="O252" s="18">
        <v>31430.1</v>
      </c>
      <c r="P252" s="18">
        <v>1.0</v>
      </c>
      <c r="Q252" s="18">
        <v>1.14968046E8</v>
      </c>
      <c r="R252" s="18">
        <v>5.4158595214E10</v>
      </c>
      <c r="S252" s="18" t="s">
        <v>1354</v>
      </c>
      <c r="T252" s="18" t="s">
        <v>39</v>
      </c>
      <c r="U252" s="18" t="s">
        <v>40</v>
      </c>
      <c r="V252" s="18" t="s">
        <v>41</v>
      </c>
    </row>
    <row r="253" ht="15.75" customHeight="1">
      <c r="D253" s="18" t="s">
        <v>474</v>
      </c>
      <c r="E253" s="18">
        <f t="shared" si="7"/>
        <v>60.20714535</v>
      </c>
      <c r="G253" s="18" t="s">
        <v>1358</v>
      </c>
      <c r="H253" s="18" t="s">
        <v>1337</v>
      </c>
      <c r="I253" s="18" t="s">
        <v>70</v>
      </c>
      <c r="K253" s="18" t="s">
        <v>1338</v>
      </c>
      <c r="L253" s="18" t="s">
        <v>1339</v>
      </c>
      <c r="M253" s="18" t="s">
        <v>1340</v>
      </c>
      <c r="O253" s="18">
        <v>28984.77</v>
      </c>
      <c r="P253" s="18">
        <v>1.0</v>
      </c>
      <c r="Q253" s="18">
        <v>1.04846648E8</v>
      </c>
      <c r="R253" s="18">
        <v>4.8165716278E10</v>
      </c>
      <c r="S253" s="18" t="s">
        <v>1341</v>
      </c>
      <c r="T253" s="18" t="s">
        <v>39</v>
      </c>
      <c r="U253" s="18" t="s">
        <v>40</v>
      </c>
      <c r="V253" s="18" t="s">
        <v>41</v>
      </c>
    </row>
    <row r="254" ht="15.75" customHeight="1">
      <c r="B254" s="40"/>
      <c r="D254" s="18" t="s">
        <v>474</v>
      </c>
      <c r="E254" s="18">
        <f t="shared" si="7"/>
        <v>51.52741426</v>
      </c>
      <c r="G254" s="18" t="s">
        <v>1359</v>
      </c>
      <c r="H254" s="18" t="s">
        <v>1245</v>
      </c>
      <c r="I254" s="18" t="s">
        <v>70</v>
      </c>
      <c r="K254" s="18" t="s">
        <v>1246</v>
      </c>
      <c r="L254" s="18" t="s">
        <v>1247</v>
      </c>
      <c r="M254" s="18" t="s">
        <v>1360</v>
      </c>
      <c r="O254" s="18">
        <v>29351.93</v>
      </c>
      <c r="P254" s="18">
        <v>1.0</v>
      </c>
      <c r="Q254" s="18">
        <v>2.13819624E8</v>
      </c>
      <c r="R254" s="18">
        <v>4.122193141E10</v>
      </c>
      <c r="S254" s="18" t="s">
        <v>1361</v>
      </c>
      <c r="T254" s="18" t="s">
        <v>39</v>
      </c>
      <c r="U254" s="18" t="s">
        <v>40</v>
      </c>
      <c r="V254" s="18" t="s">
        <v>41</v>
      </c>
    </row>
    <row r="255" ht="15.75" customHeight="1">
      <c r="A255" s="40"/>
      <c r="D255" s="18" t="s">
        <v>474</v>
      </c>
      <c r="E255" s="18">
        <f t="shared" si="7"/>
        <v>47.85413532</v>
      </c>
      <c r="G255" s="18" t="s">
        <v>1362</v>
      </c>
      <c r="H255" s="18" t="s">
        <v>1337</v>
      </c>
      <c r="I255" s="18" t="s">
        <v>70</v>
      </c>
      <c r="K255" s="18" t="s">
        <v>1338</v>
      </c>
      <c r="L255" s="18" t="s">
        <v>1339</v>
      </c>
      <c r="M255" s="18" t="s">
        <v>1363</v>
      </c>
      <c r="O255" s="18">
        <v>26821.78</v>
      </c>
      <c r="P255" s="18">
        <v>1.0</v>
      </c>
      <c r="Q255" s="18">
        <v>1.95620139E8</v>
      </c>
      <c r="R255" s="18">
        <v>3.8283308256E10</v>
      </c>
      <c r="S255" s="18" t="s">
        <v>1364</v>
      </c>
      <c r="T255" s="18" t="s">
        <v>39</v>
      </c>
      <c r="U255" s="18" t="s">
        <v>40</v>
      </c>
      <c r="V255" s="18" t="s">
        <v>41</v>
      </c>
    </row>
    <row r="256" ht="15.75" customHeight="1">
      <c r="B256" s="18">
        <v>1.0</v>
      </c>
      <c r="D256" s="18" t="s">
        <v>319</v>
      </c>
      <c r="E256" s="18">
        <f t="shared" si="7"/>
        <v>38.69521875</v>
      </c>
      <c r="G256" s="18" t="s">
        <v>1365</v>
      </c>
      <c r="H256" s="18" t="s">
        <v>46</v>
      </c>
      <c r="I256" s="18" t="s">
        <v>33</v>
      </c>
      <c r="J256" s="18" t="s">
        <v>47</v>
      </c>
      <c r="K256" s="18" t="s">
        <v>48</v>
      </c>
      <c r="L256" s="18" t="s">
        <v>49</v>
      </c>
      <c r="M256" s="18" t="s">
        <v>1366</v>
      </c>
      <c r="O256" s="18">
        <v>10258.29</v>
      </c>
      <c r="P256" s="18">
        <v>1.0</v>
      </c>
      <c r="Q256" s="18">
        <v>1.0318725E8</v>
      </c>
      <c r="R256" s="18">
        <v>3.0956175E10</v>
      </c>
      <c r="S256" s="18" t="s">
        <v>1367</v>
      </c>
      <c r="T256" s="18" t="s">
        <v>39</v>
      </c>
      <c r="U256" s="18" t="s">
        <v>40</v>
      </c>
      <c r="V256" s="18" t="s">
        <v>52</v>
      </c>
    </row>
    <row r="257" ht="15.75" customHeight="1">
      <c r="D257" s="18" t="s">
        <v>319</v>
      </c>
      <c r="E257" s="18">
        <f t="shared" si="7"/>
        <v>36.99753938</v>
      </c>
      <c r="G257" s="18" t="s">
        <v>1368</v>
      </c>
      <c r="H257" s="18" t="s">
        <v>46</v>
      </c>
      <c r="I257" s="18" t="s">
        <v>33</v>
      </c>
      <c r="J257" s="18" t="s">
        <v>47</v>
      </c>
      <c r="K257" s="18" t="s">
        <v>48</v>
      </c>
      <c r="L257" s="18" t="s">
        <v>49</v>
      </c>
      <c r="M257" s="18" t="s">
        <v>1369</v>
      </c>
      <c r="O257" s="18">
        <v>9733.24</v>
      </c>
      <c r="P257" s="18">
        <v>1.0</v>
      </c>
      <c r="Q257" s="18">
        <v>9.8660105E7</v>
      </c>
      <c r="R257" s="18">
        <v>2.95980315E10</v>
      </c>
      <c r="S257" s="18" t="s">
        <v>1370</v>
      </c>
      <c r="T257" s="18" t="s">
        <v>39</v>
      </c>
      <c r="U257" s="18" t="s">
        <v>40</v>
      </c>
      <c r="V257" s="18" t="s">
        <v>52</v>
      </c>
    </row>
    <row r="258" ht="15.75" customHeight="1">
      <c r="D258" s="18" t="s">
        <v>319</v>
      </c>
      <c r="E258" s="18">
        <f t="shared" si="7"/>
        <v>36.33214996</v>
      </c>
      <c r="G258" s="18" t="s">
        <v>1371</v>
      </c>
      <c r="H258" s="18" t="s">
        <v>1251</v>
      </c>
      <c r="I258" s="18" t="s">
        <v>427</v>
      </c>
      <c r="J258" s="18" t="s">
        <v>1252</v>
      </c>
      <c r="K258" s="18" t="s">
        <v>1253</v>
      </c>
      <c r="L258" s="18" t="s">
        <v>1254</v>
      </c>
      <c r="M258" s="18" t="s">
        <v>1372</v>
      </c>
      <c r="O258" s="18">
        <v>7128.94</v>
      </c>
      <c r="P258" s="18">
        <v>1.0</v>
      </c>
      <c r="Q258" s="18">
        <v>9.6976954E7</v>
      </c>
      <c r="R258" s="18">
        <v>2.9065719969E10</v>
      </c>
      <c r="S258" s="18" t="s">
        <v>1373</v>
      </c>
      <c r="T258" s="18" t="s">
        <v>39</v>
      </c>
      <c r="U258" s="18" t="s">
        <v>40</v>
      </c>
      <c r="V258" s="18" t="s">
        <v>41</v>
      </c>
    </row>
    <row r="259" ht="15.75" customHeight="1">
      <c r="D259" s="18" t="s">
        <v>319</v>
      </c>
      <c r="E259" s="18">
        <f t="shared" si="7"/>
        <v>16.69977469</v>
      </c>
      <c r="G259" s="18" t="s">
        <v>1374</v>
      </c>
      <c r="H259" s="18" t="s">
        <v>1375</v>
      </c>
      <c r="I259" s="18" t="s">
        <v>1376</v>
      </c>
      <c r="J259" s="18" t="s">
        <v>842</v>
      </c>
      <c r="K259" s="18" t="s">
        <v>1377</v>
      </c>
      <c r="L259" s="18" t="s">
        <v>1378</v>
      </c>
      <c r="M259" s="18" t="s">
        <v>1379</v>
      </c>
      <c r="O259" s="18">
        <v>5038.38</v>
      </c>
      <c r="P259" s="18">
        <v>1.0</v>
      </c>
      <c r="Q259" s="18">
        <v>4.6134665E7</v>
      </c>
      <c r="R259" s="18">
        <v>1.335981975E10</v>
      </c>
      <c r="S259" s="18" t="s">
        <v>1380</v>
      </c>
      <c r="T259" s="18" t="s">
        <v>39</v>
      </c>
      <c r="U259" s="18" t="s">
        <v>40</v>
      </c>
      <c r="V259" s="18" t="s">
        <v>41</v>
      </c>
    </row>
    <row r="260" ht="15.75" customHeight="1">
      <c r="D260" s="18" t="s">
        <v>319</v>
      </c>
      <c r="E260" s="18">
        <f t="shared" si="7"/>
        <v>16.06466275</v>
      </c>
      <c r="G260" s="18" t="s">
        <v>1381</v>
      </c>
      <c r="H260" s="18" t="s">
        <v>1382</v>
      </c>
      <c r="I260" s="18" t="s">
        <v>427</v>
      </c>
      <c r="J260" s="18" t="s">
        <v>842</v>
      </c>
      <c r="K260" s="18" t="s">
        <v>843</v>
      </c>
      <c r="L260" s="18" t="s">
        <v>844</v>
      </c>
      <c r="M260" s="18" t="s">
        <v>1383</v>
      </c>
      <c r="O260" s="18">
        <v>4832.26</v>
      </c>
      <c r="P260" s="18">
        <v>1.0</v>
      </c>
      <c r="Q260" s="18">
        <v>6.4258651E7</v>
      </c>
      <c r="R260" s="18">
        <v>1.28517302E10</v>
      </c>
      <c r="S260" s="18" t="s">
        <v>1384</v>
      </c>
      <c r="T260" s="18" t="s">
        <v>39</v>
      </c>
      <c r="U260" s="18" t="s">
        <v>40</v>
      </c>
      <c r="V260" s="18" t="s">
        <v>404</v>
      </c>
    </row>
    <row r="261" ht="15.75" customHeight="1">
      <c r="B261" s="18">
        <v>1.0</v>
      </c>
      <c r="D261" s="18" t="s">
        <v>480</v>
      </c>
      <c r="E261" s="18">
        <f t="shared" si="7"/>
        <v>31.72062863</v>
      </c>
      <c r="G261" s="18" t="s">
        <v>1385</v>
      </c>
      <c r="H261" s="18" t="s">
        <v>46</v>
      </c>
      <c r="I261" s="18" t="s">
        <v>33</v>
      </c>
      <c r="J261" s="18" t="s">
        <v>47</v>
      </c>
      <c r="K261" s="18" t="s">
        <v>48</v>
      </c>
      <c r="L261" s="18" t="s">
        <v>49</v>
      </c>
      <c r="M261" s="18" t="s">
        <v>1386</v>
      </c>
      <c r="O261" s="18">
        <v>8271.46</v>
      </c>
      <c r="P261" s="18">
        <v>1.0</v>
      </c>
      <c r="Q261" s="18">
        <v>8.4588343E7</v>
      </c>
      <c r="R261" s="18">
        <v>2.53765029E10</v>
      </c>
      <c r="S261" s="18" t="s">
        <v>1387</v>
      </c>
      <c r="T261" s="18" t="s">
        <v>39</v>
      </c>
      <c r="U261" s="18" t="s">
        <v>40</v>
      </c>
      <c r="V261" s="18" t="s">
        <v>52</v>
      </c>
    </row>
    <row r="262" ht="15.75" customHeight="1">
      <c r="B262" s="18">
        <v>1.0</v>
      </c>
      <c r="D262" s="18" t="s">
        <v>235</v>
      </c>
      <c r="E262" s="18">
        <f t="shared" si="7"/>
        <v>13.863402</v>
      </c>
      <c r="G262" s="18" t="s">
        <v>1388</v>
      </c>
      <c r="H262" s="18" t="s">
        <v>1389</v>
      </c>
      <c r="I262" s="18" t="s">
        <v>33</v>
      </c>
      <c r="J262" s="18" t="s">
        <v>195</v>
      </c>
      <c r="K262" s="18" t="s">
        <v>211</v>
      </c>
      <c r="L262" s="18" t="s">
        <v>212</v>
      </c>
      <c r="M262" s="18" t="s">
        <v>1390</v>
      </c>
      <c r="O262" s="18">
        <v>3620.99</v>
      </c>
      <c r="P262" s="18">
        <v>1.0</v>
      </c>
      <c r="Q262" s="18">
        <v>3.6969072E7</v>
      </c>
      <c r="R262" s="18">
        <v>1.10907216E10</v>
      </c>
      <c r="S262" s="18" t="s">
        <v>1391</v>
      </c>
      <c r="T262" s="18" t="s">
        <v>39</v>
      </c>
      <c r="U262" s="18" t="s">
        <v>40</v>
      </c>
      <c r="V262" s="18" t="s">
        <v>41</v>
      </c>
    </row>
    <row r="263" ht="15.75" customHeight="1">
      <c r="D263" s="18" t="s">
        <v>235</v>
      </c>
      <c r="E263" s="18">
        <f t="shared" si="7"/>
        <v>13.23557138</v>
      </c>
      <c r="G263" s="18" t="s">
        <v>1392</v>
      </c>
      <c r="H263" s="18" t="s">
        <v>1389</v>
      </c>
      <c r="I263" s="18" t="s">
        <v>33</v>
      </c>
      <c r="J263" s="18" t="s">
        <v>195</v>
      </c>
      <c r="K263" s="18" t="s">
        <v>211</v>
      </c>
      <c r="L263" s="18" t="s">
        <v>212</v>
      </c>
      <c r="M263" s="18" t="s">
        <v>1393</v>
      </c>
      <c r="O263" s="18">
        <v>3437.51</v>
      </c>
      <c r="P263" s="18">
        <v>1.0</v>
      </c>
      <c r="Q263" s="18">
        <v>3.5294857E7</v>
      </c>
      <c r="R263" s="18">
        <v>1.05884571E10</v>
      </c>
      <c r="S263" s="18" t="s">
        <v>1394</v>
      </c>
      <c r="T263" s="18" t="s">
        <v>39</v>
      </c>
      <c r="U263" s="18" t="s">
        <v>40</v>
      </c>
      <c r="V263" s="18" t="s">
        <v>41</v>
      </c>
    </row>
    <row r="264" ht="15.75" customHeight="1">
      <c r="B264" s="18">
        <v>1.0</v>
      </c>
      <c r="D264" s="18" t="s">
        <v>242</v>
      </c>
      <c r="E264" s="18">
        <f t="shared" si="7"/>
        <v>39.08787188</v>
      </c>
      <c r="G264" s="18" t="s">
        <v>1395</v>
      </c>
      <c r="H264" s="18" t="s">
        <v>46</v>
      </c>
      <c r="I264" s="18" t="s">
        <v>33</v>
      </c>
      <c r="J264" s="18" t="s">
        <v>47</v>
      </c>
      <c r="K264" s="18" t="s">
        <v>48</v>
      </c>
      <c r="L264" s="18" t="s">
        <v>49</v>
      </c>
      <c r="M264" s="18" t="s">
        <v>1396</v>
      </c>
      <c r="O264" s="18">
        <v>9885.8</v>
      </c>
      <c r="P264" s="18">
        <v>1.0</v>
      </c>
      <c r="Q264" s="18">
        <v>1.04234325E8</v>
      </c>
      <c r="R264" s="18">
        <v>3.12702975E10</v>
      </c>
      <c r="S264" s="18" t="s">
        <v>1397</v>
      </c>
      <c r="T264" s="18" t="s">
        <v>39</v>
      </c>
      <c r="U264" s="18" t="s">
        <v>40</v>
      </c>
      <c r="V264" s="18" t="s">
        <v>52</v>
      </c>
    </row>
    <row r="265" ht="15.75" customHeight="1">
      <c r="D265" s="18" t="s">
        <v>242</v>
      </c>
      <c r="E265" s="18">
        <f t="shared" si="7"/>
        <v>16.47065925</v>
      </c>
      <c r="G265" s="18" t="s">
        <v>1398</v>
      </c>
      <c r="H265" s="18" t="s">
        <v>1399</v>
      </c>
      <c r="I265" s="18" t="s">
        <v>33</v>
      </c>
      <c r="J265" s="18" t="s">
        <v>195</v>
      </c>
      <c r="K265" s="18" t="s">
        <v>211</v>
      </c>
      <c r="L265" s="18" t="s">
        <v>212</v>
      </c>
      <c r="M265" s="18" t="s">
        <v>1400</v>
      </c>
      <c r="O265" s="18">
        <v>4113.83</v>
      </c>
      <c r="P265" s="18">
        <v>1.0</v>
      </c>
      <c r="Q265" s="18">
        <v>4.3921758E7</v>
      </c>
      <c r="R265" s="18">
        <v>1.31765274E10</v>
      </c>
      <c r="S265" s="18" t="s">
        <v>1401</v>
      </c>
      <c r="T265" s="18" t="s">
        <v>39</v>
      </c>
      <c r="U265" s="18" t="s">
        <v>40</v>
      </c>
      <c r="V265" s="18" t="s">
        <v>41</v>
      </c>
    </row>
    <row r="266" ht="15.75" customHeight="1">
      <c r="D266" s="18" t="s">
        <v>1402</v>
      </c>
      <c r="E266" s="18">
        <f t="shared" si="7"/>
        <v>12.82315875</v>
      </c>
      <c r="G266" s="18" t="s">
        <v>1403</v>
      </c>
      <c r="H266" s="18" t="s">
        <v>1404</v>
      </c>
      <c r="I266" s="18" t="s">
        <v>33</v>
      </c>
      <c r="J266" s="18" t="s">
        <v>195</v>
      </c>
      <c r="K266" s="18" t="s">
        <v>211</v>
      </c>
      <c r="L266" s="18" t="s">
        <v>212</v>
      </c>
      <c r="M266" s="18" t="s">
        <v>1405</v>
      </c>
      <c r="O266" s="18">
        <v>3378.03</v>
      </c>
      <c r="P266" s="18">
        <v>1.0</v>
      </c>
      <c r="Q266" s="18">
        <v>3.419509E7</v>
      </c>
      <c r="R266" s="18">
        <v>1.0258527E10</v>
      </c>
      <c r="S266" s="18" t="s">
        <v>1406</v>
      </c>
      <c r="T266" s="18" t="s">
        <v>39</v>
      </c>
      <c r="U266" s="18" t="s">
        <v>40</v>
      </c>
      <c r="V266" s="18" t="s">
        <v>41</v>
      </c>
    </row>
    <row r="267" ht="15.75" customHeight="1">
      <c r="B267" s="18">
        <v>1.0</v>
      </c>
      <c r="D267" s="18" t="s">
        <v>486</v>
      </c>
      <c r="E267" s="18">
        <f t="shared" si="7"/>
        <v>29.14815038</v>
      </c>
      <c r="G267" s="18" t="s">
        <v>1407</v>
      </c>
      <c r="H267" s="18" t="s">
        <v>46</v>
      </c>
      <c r="I267" s="18" t="s">
        <v>33</v>
      </c>
      <c r="J267" s="18" t="s">
        <v>47</v>
      </c>
      <c r="K267" s="18" t="s">
        <v>48</v>
      </c>
      <c r="L267" s="18" t="s">
        <v>49</v>
      </c>
      <c r="M267" s="18" t="s">
        <v>1408</v>
      </c>
      <c r="O267" s="18">
        <v>7450.03</v>
      </c>
      <c r="P267" s="18">
        <v>1.0</v>
      </c>
      <c r="Q267" s="18">
        <v>7.7728401E7</v>
      </c>
      <c r="R267" s="18">
        <v>2.33185203E10</v>
      </c>
      <c r="S267" s="18" t="s">
        <v>1409</v>
      </c>
      <c r="T267" s="18" t="s">
        <v>39</v>
      </c>
      <c r="U267" s="18" t="s">
        <v>40</v>
      </c>
      <c r="V267" s="18" t="s">
        <v>52</v>
      </c>
    </row>
    <row r="268" ht="15.75" customHeight="1">
      <c r="B268" s="18">
        <v>1.0</v>
      </c>
      <c r="D268" s="18" t="s">
        <v>248</v>
      </c>
      <c r="E268" s="18">
        <f t="shared" si="7"/>
        <v>16.81660688</v>
      </c>
      <c r="G268" s="18" t="s">
        <v>1410</v>
      </c>
      <c r="H268" s="18" t="s">
        <v>1411</v>
      </c>
      <c r="I268" s="18" t="s">
        <v>33</v>
      </c>
      <c r="J268" s="18" t="s">
        <v>195</v>
      </c>
      <c r="K268" s="18" t="s">
        <v>211</v>
      </c>
      <c r="L268" s="18" t="s">
        <v>212</v>
      </c>
      <c r="M268" s="18" t="s">
        <v>1412</v>
      </c>
      <c r="O268" s="18">
        <v>4340.26</v>
      </c>
      <c r="P268" s="18">
        <v>1.0</v>
      </c>
      <c r="Q268" s="18">
        <v>4.4844285E7</v>
      </c>
      <c r="R268" s="18">
        <v>1.34532855E10</v>
      </c>
      <c r="S268" s="18" t="s">
        <v>1413</v>
      </c>
      <c r="T268" s="18" t="s">
        <v>39</v>
      </c>
      <c r="U268" s="18" t="s">
        <v>40</v>
      </c>
      <c r="V268" s="18" t="s">
        <v>41</v>
      </c>
    </row>
    <row r="269" ht="15.75" customHeight="1">
      <c r="D269" s="18" t="s">
        <v>248</v>
      </c>
      <c r="E269" s="18">
        <f t="shared" si="7"/>
        <v>15.0127215</v>
      </c>
      <c r="G269" s="18" t="s">
        <v>1414</v>
      </c>
      <c r="H269" s="18" t="s">
        <v>1411</v>
      </c>
      <c r="I269" s="18" t="s">
        <v>33</v>
      </c>
      <c r="J269" s="18" t="s">
        <v>195</v>
      </c>
      <c r="K269" s="18" t="s">
        <v>211</v>
      </c>
      <c r="L269" s="18" t="s">
        <v>212</v>
      </c>
      <c r="M269" s="18" t="s">
        <v>1415</v>
      </c>
      <c r="O269" s="18">
        <v>3840.21</v>
      </c>
      <c r="P269" s="18">
        <v>1.0</v>
      </c>
      <c r="Q269" s="18">
        <v>4.0033924E7</v>
      </c>
      <c r="R269" s="18">
        <v>1.20101772E10</v>
      </c>
      <c r="S269" s="18" t="s">
        <v>1416</v>
      </c>
      <c r="T269" s="18" t="s">
        <v>39</v>
      </c>
      <c r="U269" s="18" t="s">
        <v>40</v>
      </c>
      <c r="V269" s="18" t="s">
        <v>41</v>
      </c>
    </row>
    <row r="270" ht="15.75" customHeight="1">
      <c r="D270" s="18" t="s">
        <v>248</v>
      </c>
      <c r="E270" s="18">
        <f t="shared" si="7"/>
        <v>14.8976535</v>
      </c>
      <c r="G270" s="18" t="s">
        <v>1417</v>
      </c>
      <c r="H270" s="18" t="s">
        <v>1411</v>
      </c>
      <c r="I270" s="18" t="s">
        <v>33</v>
      </c>
      <c r="J270" s="18" t="s">
        <v>195</v>
      </c>
      <c r="K270" s="18" t="s">
        <v>211</v>
      </c>
      <c r="L270" s="18" t="s">
        <v>212</v>
      </c>
      <c r="M270" s="18" t="s">
        <v>1418</v>
      </c>
      <c r="O270" s="18">
        <v>3721.66</v>
      </c>
      <c r="P270" s="18">
        <v>1.0</v>
      </c>
      <c r="Q270" s="18">
        <v>3.9727076E7</v>
      </c>
      <c r="R270" s="18">
        <v>1.19181228E10</v>
      </c>
      <c r="S270" s="18" t="s">
        <v>1419</v>
      </c>
      <c r="T270" s="18" t="s">
        <v>39</v>
      </c>
      <c r="U270" s="18" t="s">
        <v>40</v>
      </c>
      <c r="V270" s="18" t="s">
        <v>41</v>
      </c>
    </row>
    <row r="271" ht="15.75" customHeight="1">
      <c r="D271" s="18" t="s">
        <v>248</v>
      </c>
      <c r="E271" s="18">
        <f t="shared" si="7"/>
        <v>14.32038488</v>
      </c>
      <c r="G271" s="18" t="s">
        <v>1420</v>
      </c>
      <c r="H271" s="18" t="s">
        <v>1421</v>
      </c>
      <c r="I271" s="18" t="s">
        <v>33</v>
      </c>
      <c r="J271" s="18" t="s">
        <v>195</v>
      </c>
      <c r="K271" s="18" t="s">
        <v>211</v>
      </c>
      <c r="L271" s="18" t="s">
        <v>212</v>
      </c>
      <c r="M271" s="18" t="s">
        <v>1422</v>
      </c>
      <c r="O271" s="18">
        <v>3818.13</v>
      </c>
      <c r="P271" s="18">
        <v>1.0</v>
      </c>
      <c r="Q271" s="18">
        <v>3.8187693E7</v>
      </c>
      <c r="R271" s="18">
        <v>1.14563079E10</v>
      </c>
      <c r="S271" s="18" t="s">
        <v>1423</v>
      </c>
      <c r="T271" s="18" t="s">
        <v>39</v>
      </c>
      <c r="U271" s="18" t="s">
        <v>40</v>
      </c>
      <c r="V271" s="18" t="s">
        <v>41</v>
      </c>
    </row>
    <row r="272" ht="15.75" customHeight="1">
      <c r="C272" s="40"/>
      <c r="D272" s="18" t="s">
        <v>494</v>
      </c>
      <c r="E272" s="18">
        <f t="shared" si="7"/>
        <v>52.49982142</v>
      </c>
      <c r="G272" s="18" t="s">
        <v>1000</v>
      </c>
      <c r="H272" s="18" t="s">
        <v>1424</v>
      </c>
      <c r="I272" s="18" t="s">
        <v>427</v>
      </c>
      <c r="J272" s="18" t="s">
        <v>842</v>
      </c>
      <c r="K272" s="18" t="s">
        <v>843</v>
      </c>
      <c r="L272" s="18" t="s">
        <v>844</v>
      </c>
      <c r="M272" s="18" t="s">
        <v>1425</v>
      </c>
      <c r="O272" s="18">
        <v>15654.38</v>
      </c>
      <c r="P272" s="18">
        <v>1.0</v>
      </c>
      <c r="Q272" s="18">
        <v>1.41159206E8</v>
      </c>
      <c r="R272" s="18">
        <v>4.1999857133E10</v>
      </c>
      <c r="S272" s="18" t="s">
        <v>1426</v>
      </c>
      <c r="T272" s="18" t="s">
        <v>39</v>
      </c>
      <c r="U272" s="18" t="s">
        <v>40</v>
      </c>
      <c r="V272" s="18" t="s">
        <v>41</v>
      </c>
    </row>
    <row r="273" ht="15.75" customHeight="1">
      <c r="C273" s="40">
        <v>1.0</v>
      </c>
      <c r="D273" s="59" t="s">
        <v>494</v>
      </c>
    </row>
    <row r="274" ht="15.75" customHeight="1">
      <c r="D274" s="18" t="s">
        <v>66</v>
      </c>
      <c r="E274" s="18">
        <f t="shared" ref="E274:E290" si="8">R274/800000000</f>
        <v>78.83980025</v>
      </c>
      <c r="G274" s="18" t="s">
        <v>1427</v>
      </c>
      <c r="H274" s="18" t="s">
        <v>1428</v>
      </c>
      <c r="I274" s="18" t="s">
        <v>70</v>
      </c>
      <c r="J274" s="18" t="s">
        <v>71</v>
      </c>
      <c r="K274" s="18" t="s">
        <v>72</v>
      </c>
      <c r="L274" s="18" t="s">
        <v>73</v>
      </c>
      <c r="M274" s="18" t="s">
        <v>74</v>
      </c>
      <c r="O274" s="18">
        <v>42802.46</v>
      </c>
      <c r="P274" s="18">
        <v>1.0</v>
      </c>
      <c r="Q274" s="18">
        <v>3.15359201E8</v>
      </c>
      <c r="R274" s="18">
        <v>6.30718402E10</v>
      </c>
      <c r="S274" s="18" t="s">
        <v>1429</v>
      </c>
      <c r="T274" s="18" t="s">
        <v>39</v>
      </c>
      <c r="U274" s="18" t="s">
        <v>40</v>
      </c>
      <c r="V274" s="18" t="s">
        <v>41</v>
      </c>
    </row>
    <row r="275" ht="15.75" customHeight="1">
      <c r="A275" s="40"/>
      <c r="D275" s="18" t="s">
        <v>66</v>
      </c>
      <c r="E275" s="18">
        <f t="shared" si="8"/>
        <v>44.048512</v>
      </c>
      <c r="G275" s="18" t="s">
        <v>1430</v>
      </c>
      <c r="H275" s="18" t="s">
        <v>1431</v>
      </c>
      <c r="I275" s="18" t="s">
        <v>70</v>
      </c>
      <c r="J275" s="18" t="s">
        <v>71</v>
      </c>
      <c r="K275" s="18" t="s">
        <v>72</v>
      </c>
      <c r="L275" s="18" t="s">
        <v>73</v>
      </c>
      <c r="M275" s="18" t="s">
        <v>74</v>
      </c>
      <c r="O275" s="18">
        <v>21860.54</v>
      </c>
      <c r="P275" s="18">
        <v>1.0</v>
      </c>
      <c r="Q275" s="18">
        <v>1.76194048E8</v>
      </c>
      <c r="R275" s="18">
        <v>3.52388096E10</v>
      </c>
      <c r="S275" s="18" t="s">
        <v>1432</v>
      </c>
      <c r="T275" s="18" t="s">
        <v>39</v>
      </c>
      <c r="U275" s="18" t="s">
        <v>40</v>
      </c>
      <c r="V275" s="18" t="s">
        <v>41</v>
      </c>
    </row>
    <row r="276" ht="15.75" customHeight="1">
      <c r="D276" s="18" t="s">
        <v>66</v>
      </c>
      <c r="E276" s="18">
        <f t="shared" si="8"/>
        <v>30.74550705</v>
      </c>
      <c r="G276" s="18" t="s">
        <v>1433</v>
      </c>
      <c r="H276" s="18" t="s">
        <v>1434</v>
      </c>
      <c r="I276" s="18" t="s">
        <v>70</v>
      </c>
      <c r="J276" s="18" t="s">
        <v>71</v>
      </c>
      <c r="K276" s="18" t="s">
        <v>72</v>
      </c>
      <c r="L276" s="18" t="s">
        <v>73</v>
      </c>
      <c r="M276" s="18" t="s">
        <v>74</v>
      </c>
      <c r="O276" s="18">
        <v>18412.19</v>
      </c>
      <c r="P276" s="18">
        <v>1.0</v>
      </c>
      <c r="Q276" s="18">
        <v>2.50983731E8</v>
      </c>
      <c r="R276" s="18">
        <v>2.4596405638E10</v>
      </c>
      <c r="S276" s="18" t="s">
        <v>1435</v>
      </c>
      <c r="T276" s="18" t="s">
        <v>39</v>
      </c>
      <c r="U276" s="18" t="s">
        <v>40</v>
      </c>
      <c r="V276" s="18" t="s">
        <v>41</v>
      </c>
    </row>
    <row r="277" ht="15.75" customHeight="1">
      <c r="B277" s="40">
        <v>1.0</v>
      </c>
      <c r="D277" s="18" t="s">
        <v>66</v>
      </c>
      <c r="E277" s="18">
        <f t="shared" si="8"/>
        <v>26.59809925</v>
      </c>
      <c r="G277" s="18" t="s">
        <v>1436</v>
      </c>
      <c r="H277" s="18" t="s">
        <v>1437</v>
      </c>
      <c r="I277" s="18" t="s">
        <v>70</v>
      </c>
      <c r="J277" s="18" t="s">
        <v>71</v>
      </c>
      <c r="K277" s="18" t="s">
        <v>72</v>
      </c>
      <c r="L277" s="18" t="s">
        <v>73</v>
      </c>
      <c r="M277" s="18" t="s">
        <v>74</v>
      </c>
      <c r="O277" s="18">
        <v>14054.23</v>
      </c>
      <c r="P277" s="18">
        <v>1.0</v>
      </c>
      <c r="Q277" s="18">
        <v>1.06392397E8</v>
      </c>
      <c r="R277" s="18">
        <v>2.12784794E10</v>
      </c>
      <c r="S277" s="18" t="s">
        <v>1438</v>
      </c>
      <c r="T277" s="18" t="s">
        <v>39</v>
      </c>
      <c r="U277" s="18" t="s">
        <v>40</v>
      </c>
      <c r="V277" s="18" t="s">
        <v>41</v>
      </c>
    </row>
    <row r="278" ht="15.75" customHeight="1">
      <c r="D278" s="18" t="s">
        <v>66</v>
      </c>
      <c r="E278" s="18">
        <f t="shared" si="8"/>
        <v>19.08493892</v>
      </c>
      <c r="G278" s="18" t="s">
        <v>1439</v>
      </c>
      <c r="H278" s="18" t="s">
        <v>46</v>
      </c>
      <c r="I278" s="18" t="s">
        <v>33</v>
      </c>
      <c r="J278" s="18" t="s">
        <v>47</v>
      </c>
      <c r="K278" s="18" t="s">
        <v>48</v>
      </c>
      <c r="L278" s="18" t="s">
        <v>49</v>
      </c>
      <c r="M278" s="18" t="s">
        <v>1440</v>
      </c>
      <c r="O278" s="18">
        <v>4862.36</v>
      </c>
      <c r="P278" s="18">
        <v>1.0</v>
      </c>
      <c r="Q278" s="18">
        <v>1.00364556E8</v>
      </c>
      <c r="R278" s="18">
        <v>1.5267951137E10</v>
      </c>
      <c r="S278" s="18" t="s">
        <v>972</v>
      </c>
      <c r="T278" s="18" t="s">
        <v>39</v>
      </c>
      <c r="U278" s="18" t="s">
        <v>40</v>
      </c>
      <c r="V278" s="18" t="s">
        <v>52</v>
      </c>
    </row>
    <row r="279" ht="15.75" customHeight="1">
      <c r="D279" s="18" t="s">
        <v>66</v>
      </c>
      <c r="E279" s="18">
        <f t="shared" si="8"/>
        <v>15.81676623</v>
      </c>
      <c r="G279" s="18" t="s">
        <v>1441</v>
      </c>
      <c r="H279" s="18" t="s">
        <v>1442</v>
      </c>
      <c r="I279" s="18" t="s">
        <v>427</v>
      </c>
      <c r="J279" s="18" t="s">
        <v>71</v>
      </c>
      <c r="K279" s="18" t="s">
        <v>72</v>
      </c>
      <c r="L279" s="18" t="s">
        <v>73</v>
      </c>
      <c r="M279" s="18" t="s">
        <v>74</v>
      </c>
      <c r="O279" s="18">
        <v>5561.28</v>
      </c>
      <c r="P279" s="18">
        <v>1.0</v>
      </c>
      <c r="Q279" s="18">
        <v>1.29116459E8</v>
      </c>
      <c r="R279" s="18">
        <v>1.2653412982E10</v>
      </c>
      <c r="S279" s="18" t="s">
        <v>1443</v>
      </c>
      <c r="T279" s="18" t="s">
        <v>39</v>
      </c>
      <c r="U279" s="18" t="s">
        <v>40</v>
      </c>
      <c r="V279" s="18" t="s">
        <v>41</v>
      </c>
    </row>
    <row r="280" ht="15.75" customHeight="1">
      <c r="D280" s="18" t="s">
        <v>66</v>
      </c>
      <c r="E280" s="18">
        <f t="shared" si="8"/>
        <v>12.40731083</v>
      </c>
      <c r="G280" s="18" t="s">
        <v>1444</v>
      </c>
      <c r="H280" s="18" t="s">
        <v>1445</v>
      </c>
      <c r="I280" s="18" t="s">
        <v>427</v>
      </c>
      <c r="J280" s="18" t="s">
        <v>71</v>
      </c>
      <c r="K280" s="18" t="s">
        <v>72</v>
      </c>
      <c r="L280" s="18" t="s">
        <v>73</v>
      </c>
      <c r="M280" s="18" t="s">
        <v>74</v>
      </c>
      <c r="O280" s="18">
        <v>4468.52</v>
      </c>
      <c r="P280" s="18">
        <v>1.0</v>
      </c>
      <c r="Q280" s="18">
        <v>1.0128417E8</v>
      </c>
      <c r="R280" s="18">
        <v>9.92584866E9</v>
      </c>
      <c r="S280" s="18" t="s">
        <v>1446</v>
      </c>
      <c r="T280" s="18" t="s">
        <v>39</v>
      </c>
      <c r="U280" s="18" t="s">
        <v>40</v>
      </c>
      <c r="V280" s="18" t="s">
        <v>41</v>
      </c>
    </row>
    <row r="281" ht="15.75" customHeight="1">
      <c r="B281" s="18">
        <v>1.0</v>
      </c>
      <c r="D281" s="18" t="s">
        <v>77</v>
      </c>
      <c r="E281" s="18">
        <f t="shared" si="8"/>
        <v>43.98684863</v>
      </c>
      <c r="G281" s="18" t="s">
        <v>1447</v>
      </c>
      <c r="H281" s="18" t="s">
        <v>32</v>
      </c>
      <c r="I281" s="18" t="s">
        <v>33</v>
      </c>
      <c r="J281" s="18" t="s">
        <v>34</v>
      </c>
      <c r="K281" s="18" t="s">
        <v>35</v>
      </c>
      <c r="L281" s="18" t="s">
        <v>36</v>
      </c>
      <c r="M281" s="18" t="s">
        <v>1448</v>
      </c>
      <c r="O281" s="18">
        <v>13794.18</v>
      </c>
      <c r="P281" s="18">
        <v>1.0</v>
      </c>
      <c r="Q281" s="18">
        <v>1.17298263E8</v>
      </c>
      <c r="R281" s="18">
        <v>3.51894789E10</v>
      </c>
      <c r="S281" s="18" t="s">
        <v>1449</v>
      </c>
      <c r="T281" s="18" t="s">
        <v>39</v>
      </c>
      <c r="U281" s="18" t="s">
        <v>40</v>
      </c>
      <c r="V281" s="18" t="s">
        <v>41</v>
      </c>
    </row>
    <row r="282" ht="15.75" customHeight="1">
      <c r="D282" s="18" t="s">
        <v>77</v>
      </c>
      <c r="E282" s="18">
        <f t="shared" si="8"/>
        <v>40.86306263</v>
      </c>
      <c r="G282" s="18" t="s">
        <v>1450</v>
      </c>
      <c r="H282" s="18" t="s">
        <v>32</v>
      </c>
      <c r="I282" s="18" t="s">
        <v>33</v>
      </c>
      <c r="J282" s="18" t="s">
        <v>34</v>
      </c>
      <c r="K282" s="18" t="s">
        <v>35</v>
      </c>
      <c r="L282" s="18" t="s">
        <v>36</v>
      </c>
      <c r="M282" s="18" t="s">
        <v>1451</v>
      </c>
      <c r="O282" s="18">
        <v>13596.71</v>
      </c>
      <c r="P282" s="18">
        <v>1.0</v>
      </c>
      <c r="Q282" s="18">
        <v>1.08968167E8</v>
      </c>
      <c r="R282" s="18">
        <v>3.26904501E10</v>
      </c>
      <c r="S282" s="18" t="s">
        <v>1452</v>
      </c>
      <c r="T282" s="18" t="s">
        <v>39</v>
      </c>
      <c r="U282" s="18" t="s">
        <v>40</v>
      </c>
      <c r="V282" s="18" t="s">
        <v>41</v>
      </c>
    </row>
    <row r="283" ht="15.75" customHeight="1">
      <c r="D283" s="18" t="s">
        <v>77</v>
      </c>
      <c r="E283" s="18">
        <f t="shared" si="8"/>
        <v>40.78505588</v>
      </c>
      <c r="G283" s="18" t="s">
        <v>1453</v>
      </c>
      <c r="H283" s="18" t="s">
        <v>32</v>
      </c>
      <c r="I283" s="18" t="s">
        <v>33</v>
      </c>
      <c r="J283" s="18" t="s">
        <v>34</v>
      </c>
      <c r="K283" s="18" t="s">
        <v>35</v>
      </c>
      <c r="L283" s="18" t="s">
        <v>36</v>
      </c>
      <c r="M283" s="18" t="s">
        <v>1454</v>
      </c>
      <c r="O283" s="18">
        <v>12686.92</v>
      </c>
      <c r="P283" s="18">
        <v>1.0</v>
      </c>
      <c r="Q283" s="18">
        <v>1.08760149E8</v>
      </c>
      <c r="R283" s="18">
        <v>3.26280447E10</v>
      </c>
      <c r="S283" s="18" t="s">
        <v>1455</v>
      </c>
      <c r="T283" s="18" t="s">
        <v>39</v>
      </c>
      <c r="U283" s="18" t="s">
        <v>40</v>
      </c>
      <c r="V283" s="18" t="s">
        <v>41</v>
      </c>
    </row>
    <row r="284" ht="15.75" customHeight="1">
      <c r="D284" s="18" t="s">
        <v>77</v>
      </c>
      <c r="E284" s="18">
        <f t="shared" si="8"/>
        <v>39.99799125</v>
      </c>
      <c r="G284" s="18" t="s">
        <v>1456</v>
      </c>
      <c r="H284" s="18" t="s">
        <v>32</v>
      </c>
      <c r="I284" s="18" t="s">
        <v>33</v>
      </c>
      <c r="J284" s="18" t="s">
        <v>34</v>
      </c>
      <c r="K284" s="18" t="s">
        <v>35</v>
      </c>
      <c r="L284" s="18" t="s">
        <v>36</v>
      </c>
      <c r="M284" s="18" t="s">
        <v>1457</v>
      </c>
      <c r="O284" s="18">
        <v>13689.96</v>
      </c>
      <c r="P284" s="18">
        <v>1.0</v>
      </c>
      <c r="Q284" s="18">
        <v>1.0666131E8</v>
      </c>
      <c r="R284" s="18">
        <v>3.1998393E10</v>
      </c>
      <c r="S284" s="18" t="s">
        <v>1458</v>
      </c>
      <c r="T284" s="18" t="s">
        <v>39</v>
      </c>
      <c r="U284" s="18" t="s">
        <v>40</v>
      </c>
      <c r="V284" s="18" t="s">
        <v>41</v>
      </c>
    </row>
    <row r="285" ht="15.75" customHeight="1">
      <c r="D285" s="18" t="s">
        <v>77</v>
      </c>
      <c r="E285" s="18">
        <f t="shared" si="8"/>
        <v>39.72072863</v>
      </c>
      <c r="G285" s="18" t="s">
        <v>1459</v>
      </c>
      <c r="H285" s="18" t="s">
        <v>32</v>
      </c>
      <c r="I285" s="18" t="s">
        <v>33</v>
      </c>
      <c r="J285" s="18" t="s">
        <v>34</v>
      </c>
      <c r="K285" s="18" t="s">
        <v>35</v>
      </c>
      <c r="L285" s="18" t="s">
        <v>36</v>
      </c>
      <c r="M285" s="18" t="s">
        <v>1460</v>
      </c>
      <c r="O285" s="18">
        <v>12230.02</v>
      </c>
      <c r="P285" s="18">
        <v>1.0</v>
      </c>
      <c r="Q285" s="18">
        <v>1.05921943E8</v>
      </c>
      <c r="R285" s="18">
        <v>3.17765829E10</v>
      </c>
      <c r="S285" s="18" t="s">
        <v>1461</v>
      </c>
      <c r="T285" s="18" t="s">
        <v>39</v>
      </c>
      <c r="U285" s="18" t="s">
        <v>40</v>
      </c>
      <c r="V285" s="18" t="s">
        <v>41</v>
      </c>
    </row>
    <row r="286" ht="15.75" customHeight="1">
      <c r="D286" s="18" t="s">
        <v>77</v>
      </c>
      <c r="E286" s="18">
        <f t="shared" si="8"/>
        <v>39.23320388</v>
      </c>
      <c r="G286" s="18" t="s">
        <v>1462</v>
      </c>
      <c r="H286" s="18" t="s">
        <v>32</v>
      </c>
      <c r="I286" s="18" t="s">
        <v>33</v>
      </c>
      <c r="J286" s="18" t="s">
        <v>34</v>
      </c>
      <c r="K286" s="18" t="s">
        <v>35</v>
      </c>
      <c r="L286" s="18" t="s">
        <v>36</v>
      </c>
      <c r="M286" s="18" t="s">
        <v>1463</v>
      </c>
      <c r="O286" s="18">
        <v>11991.51</v>
      </c>
      <c r="P286" s="18">
        <v>1.0</v>
      </c>
      <c r="Q286" s="18">
        <v>1.04621877E8</v>
      </c>
      <c r="R286" s="18">
        <v>3.13865631E10</v>
      </c>
      <c r="S286" s="18" t="s">
        <v>1464</v>
      </c>
      <c r="T286" s="18" t="s">
        <v>39</v>
      </c>
      <c r="U286" s="18" t="s">
        <v>40</v>
      </c>
      <c r="V286" s="18" t="s">
        <v>41</v>
      </c>
    </row>
    <row r="287" ht="15.75" customHeight="1">
      <c r="D287" s="18" t="s">
        <v>77</v>
      </c>
      <c r="E287" s="18">
        <f t="shared" si="8"/>
        <v>37.6091895</v>
      </c>
      <c r="G287" s="18" t="s">
        <v>1465</v>
      </c>
      <c r="H287" s="18" t="s">
        <v>32</v>
      </c>
      <c r="I287" s="18" t="s">
        <v>33</v>
      </c>
      <c r="J287" s="18" t="s">
        <v>34</v>
      </c>
      <c r="K287" s="18" t="s">
        <v>35</v>
      </c>
      <c r="L287" s="18" t="s">
        <v>36</v>
      </c>
      <c r="M287" s="18" t="s">
        <v>1466</v>
      </c>
      <c r="O287" s="18">
        <v>11987.39</v>
      </c>
      <c r="P287" s="18">
        <v>1.0</v>
      </c>
      <c r="Q287" s="18">
        <v>1.00291172E8</v>
      </c>
      <c r="R287" s="18">
        <v>3.00873516E10</v>
      </c>
      <c r="S287" s="18" t="s">
        <v>1467</v>
      </c>
      <c r="T287" s="18" t="s">
        <v>39</v>
      </c>
      <c r="U287" s="18" t="s">
        <v>40</v>
      </c>
      <c r="V287" s="18" t="s">
        <v>41</v>
      </c>
    </row>
    <row r="288" ht="15.75" customHeight="1">
      <c r="D288" s="18" t="s">
        <v>77</v>
      </c>
      <c r="E288" s="18">
        <f t="shared" si="8"/>
        <v>37.50313425</v>
      </c>
      <c r="G288" s="18" t="s">
        <v>1468</v>
      </c>
      <c r="H288" s="18" t="s">
        <v>32</v>
      </c>
      <c r="I288" s="18" t="s">
        <v>33</v>
      </c>
      <c r="J288" s="18" t="s">
        <v>34</v>
      </c>
      <c r="K288" s="18" t="s">
        <v>35</v>
      </c>
      <c r="L288" s="18" t="s">
        <v>36</v>
      </c>
      <c r="M288" s="18" t="s">
        <v>1469</v>
      </c>
      <c r="O288" s="18">
        <v>12480.44</v>
      </c>
      <c r="P288" s="18">
        <v>1.0</v>
      </c>
      <c r="Q288" s="18">
        <v>1.00008358E8</v>
      </c>
      <c r="R288" s="18">
        <v>3.00025074E10</v>
      </c>
      <c r="S288" s="18" t="s">
        <v>1470</v>
      </c>
      <c r="T288" s="18" t="s">
        <v>39</v>
      </c>
      <c r="U288" s="18" t="s">
        <v>40</v>
      </c>
      <c r="V288" s="18" t="s">
        <v>41</v>
      </c>
    </row>
    <row r="289" ht="15.75" customHeight="1">
      <c r="D289" s="18" t="s">
        <v>77</v>
      </c>
      <c r="E289" s="18">
        <f t="shared" si="8"/>
        <v>35.96579775</v>
      </c>
      <c r="G289" s="18" t="s">
        <v>1471</v>
      </c>
      <c r="H289" s="18" t="s">
        <v>32</v>
      </c>
      <c r="I289" s="18" t="s">
        <v>33</v>
      </c>
      <c r="J289" s="18" t="s">
        <v>34</v>
      </c>
      <c r="K289" s="18" t="s">
        <v>35</v>
      </c>
      <c r="L289" s="18" t="s">
        <v>36</v>
      </c>
      <c r="M289" s="18" t="s">
        <v>1472</v>
      </c>
      <c r="O289" s="18">
        <v>12015.57</v>
      </c>
      <c r="P289" s="18">
        <v>1.0</v>
      </c>
      <c r="Q289" s="18">
        <v>9.5908794E7</v>
      </c>
      <c r="R289" s="18">
        <v>2.87726382E10</v>
      </c>
      <c r="S289" s="18" t="s">
        <v>1473</v>
      </c>
      <c r="T289" s="18" t="s">
        <v>39</v>
      </c>
      <c r="U289" s="18" t="s">
        <v>40</v>
      </c>
      <c r="V289" s="18" t="s">
        <v>41</v>
      </c>
    </row>
    <row r="290" ht="15.75" customHeight="1">
      <c r="B290" s="18">
        <v>1.0</v>
      </c>
      <c r="D290" s="18" t="s">
        <v>496</v>
      </c>
      <c r="E290" s="18">
        <f t="shared" si="8"/>
        <v>34.75303875</v>
      </c>
      <c r="G290" s="18" t="s">
        <v>1474</v>
      </c>
      <c r="H290" s="18" t="s">
        <v>46</v>
      </c>
      <c r="I290" s="18" t="s">
        <v>33</v>
      </c>
      <c r="J290" s="18" t="s">
        <v>47</v>
      </c>
      <c r="K290" s="18" t="s">
        <v>48</v>
      </c>
      <c r="L290" s="18" t="s">
        <v>49</v>
      </c>
      <c r="M290" s="18" t="s">
        <v>1475</v>
      </c>
      <c r="O290" s="18">
        <v>9432.93</v>
      </c>
      <c r="P290" s="18">
        <v>1.0</v>
      </c>
      <c r="Q290" s="18">
        <v>9.267477E7</v>
      </c>
      <c r="R290" s="18">
        <v>2.7802431E10</v>
      </c>
      <c r="S290" s="18" t="s">
        <v>1476</v>
      </c>
      <c r="T290" s="18" t="s">
        <v>39</v>
      </c>
      <c r="U290" s="18" t="s">
        <v>40</v>
      </c>
      <c r="V290" s="18" t="s">
        <v>52</v>
      </c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">
    <mergeCell ref="M2:N2"/>
    <mergeCell ref="M3:N3"/>
    <mergeCell ref="M4:N4"/>
    <mergeCell ref="M5:N5"/>
    <mergeCell ref="M50:N50"/>
  </mergeCell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</hyperlinks>
  <printOptions/>
  <pageMargins bottom="1.0" footer="0.0" header="0.0" left="0.75" right="0.75" top="1.0"/>
  <pageSetup orientation="landscape"/>
  <drawing r:id="rId6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1.33"/>
    <col customWidth="1" min="2" max="2" width="32.78"/>
    <col customWidth="1" min="5" max="5" width="41.44"/>
    <col customWidth="1" min="6" max="6" width="23.67"/>
    <col customWidth="1" min="7" max="7" width="15.56"/>
    <col customWidth="1" min="9" max="9" width="29.78"/>
  </cols>
  <sheetData>
    <row r="1">
      <c r="A1" s="71" t="s">
        <v>1477</v>
      </c>
      <c r="D1" s="72"/>
      <c r="E1" s="72"/>
      <c r="F1" s="73"/>
      <c r="G1" s="72"/>
      <c r="H1" s="72"/>
      <c r="I1" s="73"/>
    </row>
    <row r="2">
      <c r="A2" s="74" t="s">
        <v>1478</v>
      </c>
      <c r="B2" s="74" t="s">
        <v>1479</v>
      </c>
      <c r="C2" s="74" t="s">
        <v>3</v>
      </c>
      <c r="D2" s="74" t="s">
        <v>1480</v>
      </c>
      <c r="E2" s="75" t="s">
        <v>1481</v>
      </c>
      <c r="F2" s="75" t="s">
        <v>1482</v>
      </c>
      <c r="G2" s="75" t="s">
        <v>1483</v>
      </c>
      <c r="H2" s="74" t="s">
        <v>1484</v>
      </c>
      <c r="I2" s="75" t="s">
        <v>1485</v>
      </c>
    </row>
    <row r="3">
      <c r="A3" s="76" t="s">
        <v>254</v>
      </c>
      <c r="B3" s="77" t="s">
        <v>254</v>
      </c>
      <c r="C3" s="78" t="s">
        <v>1486</v>
      </c>
      <c r="D3" s="77" t="s">
        <v>1487</v>
      </c>
      <c r="E3" s="76" t="s">
        <v>1488</v>
      </c>
      <c r="F3" s="76" t="s">
        <v>253</v>
      </c>
      <c r="G3" s="76" t="s">
        <v>1489</v>
      </c>
      <c r="H3" s="76">
        <v>44.241</v>
      </c>
      <c r="I3" s="76" t="s">
        <v>1490</v>
      </c>
    </row>
    <row r="4">
      <c r="A4" s="76" t="s">
        <v>273</v>
      </c>
      <c r="B4" s="77" t="s">
        <v>273</v>
      </c>
      <c r="C4" s="78" t="s">
        <v>1486</v>
      </c>
      <c r="D4" s="77" t="s">
        <v>1487</v>
      </c>
      <c r="E4" s="76" t="s">
        <v>1491</v>
      </c>
      <c r="F4" s="76" t="s">
        <v>272</v>
      </c>
      <c r="G4" s="76" t="s">
        <v>1489</v>
      </c>
      <c r="H4" s="76">
        <v>34.6783</v>
      </c>
      <c r="I4" s="76" t="s">
        <v>1492</v>
      </c>
    </row>
    <row r="5">
      <c r="A5" s="76" t="s">
        <v>1493</v>
      </c>
      <c r="B5" s="77" t="s">
        <v>1493</v>
      </c>
      <c r="C5" s="78" t="s">
        <v>1486</v>
      </c>
      <c r="D5" s="77" t="s">
        <v>1487</v>
      </c>
      <c r="E5" s="76" t="s">
        <v>1491</v>
      </c>
      <c r="F5" s="76" t="s">
        <v>1494</v>
      </c>
      <c r="G5" s="76" t="s">
        <v>1489</v>
      </c>
      <c r="H5" s="76">
        <v>32.8187</v>
      </c>
      <c r="I5" s="76" t="s">
        <v>1495</v>
      </c>
    </row>
    <row r="6">
      <c r="A6" s="76" t="s">
        <v>261</v>
      </c>
      <c r="B6" s="77" t="s">
        <v>261</v>
      </c>
      <c r="C6" s="78" t="s">
        <v>1486</v>
      </c>
      <c r="D6" s="77" t="s">
        <v>1487</v>
      </c>
      <c r="E6" s="76" t="s">
        <v>1491</v>
      </c>
      <c r="F6" s="76" t="s">
        <v>260</v>
      </c>
      <c r="G6" s="76" t="s">
        <v>1489</v>
      </c>
      <c r="H6" s="76">
        <v>35.0959</v>
      </c>
      <c r="I6" s="76" t="s">
        <v>1496</v>
      </c>
    </row>
    <row r="7">
      <c r="A7" s="76" t="s">
        <v>1497</v>
      </c>
      <c r="B7" s="77" t="s">
        <v>1497</v>
      </c>
      <c r="C7" s="78" t="s">
        <v>1486</v>
      </c>
      <c r="D7" s="77" t="s">
        <v>1487</v>
      </c>
      <c r="E7" s="76" t="s">
        <v>1491</v>
      </c>
      <c r="F7" s="76" t="s">
        <v>1498</v>
      </c>
      <c r="G7" s="76" t="s">
        <v>1489</v>
      </c>
      <c r="H7" s="76">
        <v>35.3768</v>
      </c>
      <c r="I7" s="76" t="s">
        <v>1499</v>
      </c>
    </row>
    <row r="8">
      <c r="A8" s="76" t="s">
        <v>1500</v>
      </c>
      <c r="B8" s="77" t="s">
        <v>1500</v>
      </c>
      <c r="C8" s="78" t="s">
        <v>1486</v>
      </c>
      <c r="D8" s="77" t="s">
        <v>1487</v>
      </c>
      <c r="E8" s="76" t="s">
        <v>1491</v>
      </c>
      <c r="F8" s="76" t="s">
        <v>1501</v>
      </c>
      <c r="G8" s="76" t="s">
        <v>1489</v>
      </c>
      <c r="H8" s="76">
        <v>31.7208</v>
      </c>
      <c r="I8" s="76" t="s">
        <v>1502</v>
      </c>
    </row>
    <row r="9">
      <c r="A9" s="76" t="s">
        <v>1503</v>
      </c>
      <c r="B9" s="77" t="s">
        <v>1503</v>
      </c>
      <c r="C9" s="78" t="s">
        <v>1486</v>
      </c>
      <c r="D9" s="77" t="s">
        <v>1487</v>
      </c>
      <c r="E9" s="76" t="s">
        <v>1504</v>
      </c>
      <c r="F9" s="76" t="s">
        <v>1505</v>
      </c>
      <c r="G9" s="76" t="s">
        <v>1489</v>
      </c>
      <c r="H9" s="76">
        <v>30.0166</v>
      </c>
      <c r="I9" s="76" t="s">
        <v>1506</v>
      </c>
    </row>
    <row r="10">
      <c r="A10" s="76" t="s">
        <v>267</v>
      </c>
      <c r="B10" s="77" t="s">
        <v>267</v>
      </c>
      <c r="C10" s="78" t="s">
        <v>1486</v>
      </c>
      <c r="D10" s="77" t="s">
        <v>1487</v>
      </c>
      <c r="E10" s="76" t="s">
        <v>1507</v>
      </c>
      <c r="F10" s="76" t="s">
        <v>266</v>
      </c>
      <c r="G10" s="76" t="s">
        <v>1489</v>
      </c>
      <c r="H10" s="76">
        <v>33.9878</v>
      </c>
      <c r="I10" s="76" t="s">
        <v>1508</v>
      </c>
    </row>
    <row r="11">
      <c r="A11" s="76" t="s">
        <v>1509</v>
      </c>
      <c r="B11" s="77" t="s">
        <v>1509</v>
      </c>
      <c r="C11" s="78" t="s">
        <v>1486</v>
      </c>
      <c r="D11" s="77" t="s">
        <v>1487</v>
      </c>
      <c r="E11" s="76" t="s">
        <v>1488</v>
      </c>
      <c r="F11" s="76" t="s">
        <v>1510</v>
      </c>
      <c r="G11" s="76" t="s">
        <v>1489</v>
      </c>
      <c r="H11" s="76">
        <v>38.1144</v>
      </c>
      <c r="I11" s="76" t="s">
        <v>1511</v>
      </c>
    </row>
    <row r="12">
      <c r="A12" s="76" t="s">
        <v>1512</v>
      </c>
      <c r="B12" s="77" t="s">
        <v>1512</v>
      </c>
      <c r="C12" s="78" t="s">
        <v>1486</v>
      </c>
      <c r="D12" s="77" t="s">
        <v>1487</v>
      </c>
      <c r="E12" s="76" t="s">
        <v>1488</v>
      </c>
      <c r="F12" s="76" t="s">
        <v>1513</v>
      </c>
      <c r="G12" s="76" t="s">
        <v>1489</v>
      </c>
      <c r="H12" s="76">
        <v>35.2129</v>
      </c>
      <c r="I12" s="76" t="s">
        <v>1514</v>
      </c>
    </row>
    <row r="13">
      <c r="A13" s="76" t="s">
        <v>1515</v>
      </c>
      <c r="B13" s="77" t="s">
        <v>66</v>
      </c>
      <c r="C13" s="77" t="s">
        <v>29</v>
      </c>
      <c r="D13" s="77" t="s">
        <v>280</v>
      </c>
      <c r="E13" s="76" t="s">
        <v>1486</v>
      </c>
      <c r="F13" s="76" t="s">
        <v>1516</v>
      </c>
      <c r="G13" s="76" t="s">
        <v>1516</v>
      </c>
      <c r="H13" s="76" t="s">
        <v>1486</v>
      </c>
      <c r="I13" s="76" t="s">
        <v>1486</v>
      </c>
    </row>
    <row r="14">
      <c r="A14" s="76" t="s">
        <v>66</v>
      </c>
      <c r="B14" s="77" t="s">
        <v>66</v>
      </c>
      <c r="C14" s="77" t="s">
        <v>29</v>
      </c>
      <c r="D14" s="77" t="s">
        <v>280</v>
      </c>
      <c r="E14" s="76" t="s">
        <v>1517</v>
      </c>
      <c r="F14" s="76" t="s">
        <v>1518</v>
      </c>
      <c r="G14" s="76" t="s">
        <v>1489</v>
      </c>
      <c r="H14" s="76">
        <v>34.4702</v>
      </c>
      <c r="I14" s="76" t="s">
        <v>1519</v>
      </c>
    </row>
    <row r="15">
      <c r="A15" s="76" t="s">
        <v>1520</v>
      </c>
      <c r="B15" s="77" t="s">
        <v>54</v>
      </c>
      <c r="C15" s="77" t="s">
        <v>29</v>
      </c>
      <c r="D15" s="77" t="s">
        <v>280</v>
      </c>
      <c r="E15" s="76" t="s">
        <v>1521</v>
      </c>
      <c r="F15" s="76" t="s">
        <v>53</v>
      </c>
      <c r="G15" s="76" t="s">
        <v>1489</v>
      </c>
      <c r="H15" s="76">
        <v>26.4494</v>
      </c>
      <c r="I15" s="76" t="s">
        <v>1522</v>
      </c>
    </row>
    <row r="16">
      <c r="A16" s="76" t="s">
        <v>1523</v>
      </c>
      <c r="B16" s="77" t="s">
        <v>54</v>
      </c>
      <c r="C16" s="77" t="s">
        <v>29</v>
      </c>
      <c r="D16" s="77" t="s">
        <v>280</v>
      </c>
      <c r="E16" s="76" t="s">
        <v>1524</v>
      </c>
      <c r="F16" s="76" t="s">
        <v>1525</v>
      </c>
      <c r="G16" s="76" t="s">
        <v>1489</v>
      </c>
      <c r="H16" s="76">
        <v>39.5573</v>
      </c>
      <c r="I16" s="76" t="s">
        <v>1526</v>
      </c>
    </row>
    <row r="17">
      <c r="A17" s="76" t="s">
        <v>1527</v>
      </c>
      <c r="B17" s="77" t="s">
        <v>54</v>
      </c>
      <c r="C17" s="77" t="s">
        <v>29</v>
      </c>
      <c r="D17" s="77" t="s">
        <v>280</v>
      </c>
      <c r="E17" s="76" t="s">
        <v>1528</v>
      </c>
      <c r="F17" s="76" t="s">
        <v>1529</v>
      </c>
      <c r="G17" s="76" t="s">
        <v>1489</v>
      </c>
      <c r="H17" s="76">
        <v>38.4558</v>
      </c>
      <c r="I17" s="76" t="s">
        <v>1530</v>
      </c>
    </row>
    <row r="18">
      <c r="A18" s="76" t="s">
        <v>43</v>
      </c>
      <c r="B18" s="77" t="s">
        <v>43</v>
      </c>
      <c r="C18" s="77" t="s">
        <v>29</v>
      </c>
      <c r="D18" s="77" t="s">
        <v>280</v>
      </c>
      <c r="E18" s="76" t="s">
        <v>1521</v>
      </c>
      <c r="F18" s="76" t="s">
        <v>42</v>
      </c>
      <c r="G18" s="76" t="s">
        <v>1489</v>
      </c>
      <c r="H18" s="76">
        <v>39.0234</v>
      </c>
      <c r="I18" s="76" t="s">
        <v>1531</v>
      </c>
    </row>
    <row r="19">
      <c r="A19" s="76" t="s">
        <v>1532</v>
      </c>
      <c r="B19" s="77" t="s">
        <v>28</v>
      </c>
      <c r="C19" s="77" t="s">
        <v>29</v>
      </c>
      <c r="D19" s="77" t="s">
        <v>280</v>
      </c>
      <c r="E19" s="76" t="s">
        <v>1533</v>
      </c>
      <c r="F19" s="76" t="s">
        <v>1534</v>
      </c>
      <c r="G19" s="76" t="s">
        <v>1489</v>
      </c>
      <c r="H19" s="76">
        <v>35.252</v>
      </c>
      <c r="I19" s="76" t="s">
        <v>1535</v>
      </c>
    </row>
    <row r="20">
      <c r="A20" s="76" t="s">
        <v>1536</v>
      </c>
      <c r="B20" s="77" t="s">
        <v>60</v>
      </c>
      <c r="C20" s="77" t="s">
        <v>29</v>
      </c>
      <c r="D20" s="77" t="s">
        <v>280</v>
      </c>
      <c r="E20" s="76" t="s">
        <v>1537</v>
      </c>
      <c r="F20" s="76" t="s">
        <v>1538</v>
      </c>
      <c r="G20" s="76" t="s">
        <v>1489</v>
      </c>
      <c r="H20" s="76">
        <v>27.3754</v>
      </c>
      <c r="I20" s="76" t="s">
        <v>1539</v>
      </c>
    </row>
    <row r="21">
      <c r="A21" s="76" t="s">
        <v>1540</v>
      </c>
      <c r="B21" s="77" t="s">
        <v>60</v>
      </c>
      <c r="C21" s="77" t="s">
        <v>29</v>
      </c>
      <c r="D21" s="77" t="s">
        <v>280</v>
      </c>
      <c r="E21" s="76" t="s">
        <v>1541</v>
      </c>
      <c r="F21" s="76" t="s">
        <v>1542</v>
      </c>
      <c r="G21" s="76" t="s">
        <v>1489</v>
      </c>
      <c r="H21" s="76">
        <v>32.5481</v>
      </c>
      <c r="I21" s="76" t="s">
        <v>1543</v>
      </c>
    </row>
    <row r="22">
      <c r="A22" s="76" t="s">
        <v>1544</v>
      </c>
      <c r="B22" s="77" t="s">
        <v>28</v>
      </c>
      <c r="C22" s="77" t="s">
        <v>29</v>
      </c>
      <c r="D22" s="77" t="s">
        <v>280</v>
      </c>
      <c r="E22" s="76" t="s">
        <v>1545</v>
      </c>
      <c r="F22" s="76" t="s">
        <v>1546</v>
      </c>
      <c r="G22" s="76" t="s">
        <v>1489</v>
      </c>
      <c r="H22" s="76">
        <v>32.2121</v>
      </c>
      <c r="I22" s="76" t="s">
        <v>1547</v>
      </c>
    </row>
    <row r="23">
      <c r="A23" s="76" t="s">
        <v>1548</v>
      </c>
      <c r="B23" s="77" t="s">
        <v>77</v>
      </c>
      <c r="C23" s="77" t="s">
        <v>29</v>
      </c>
      <c r="D23" s="77" t="s">
        <v>280</v>
      </c>
      <c r="E23" s="76" t="s">
        <v>1549</v>
      </c>
      <c r="F23" s="76" t="s">
        <v>1550</v>
      </c>
      <c r="G23" s="76" t="s">
        <v>1489</v>
      </c>
      <c r="H23" s="76">
        <v>33.0749</v>
      </c>
      <c r="I23" s="76" t="s">
        <v>1551</v>
      </c>
    </row>
    <row r="24">
      <c r="A24" s="76" t="s">
        <v>1552</v>
      </c>
      <c r="B24" s="77" t="s">
        <v>77</v>
      </c>
      <c r="C24" s="77" t="s">
        <v>29</v>
      </c>
      <c r="D24" s="77" t="s">
        <v>280</v>
      </c>
      <c r="E24" s="76" t="s">
        <v>1553</v>
      </c>
      <c r="F24" s="76" t="s">
        <v>1554</v>
      </c>
      <c r="G24" s="76" t="s">
        <v>1489</v>
      </c>
      <c r="H24" s="76">
        <v>28.6172</v>
      </c>
      <c r="I24" s="76" t="s">
        <v>1555</v>
      </c>
    </row>
    <row r="25">
      <c r="A25" s="76" t="s">
        <v>131</v>
      </c>
      <c r="B25" s="77" t="s">
        <v>131</v>
      </c>
      <c r="C25" s="77" t="s">
        <v>84</v>
      </c>
      <c r="D25" s="77" t="s">
        <v>280</v>
      </c>
      <c r="E25" s="76" t="s">
        <v>1491</v>
      </c>
      <c r="F25" s="76" t="s">
        <v>130</v>
      </c>
      <c r="G25" s="76" t="s">
        <v>1489</v>
      </c>
      <c r="H25" s="76">
        <v>35.8138</v>
      </c>
      <c r="I25" s="76" t="s">
        <v>1556</v>
      </c>
    </row>
    <row r="26">
      <c r="A26" s="76" t="s">
        <v>96</v>
      </c>
      <c r="B26" s="77" t="s">
        <v>1557</v>
      </c>
      <c r="C26" s="77" t="s">
        <v>84</v>
      </c>
      <c r="D26" s="77" t="s">
        <v>280</v>
      </c>
      <c r="E26" s="76" t="s">
        <v>1488</v>
      </c>
      <c r="F26" s="76" t="s">
        <v>95</v>
      </c>
      <c r="G26" s="76" t="s">
        <v>1489</v>
      </c>
      <c r="H26" s="76">
        <v>36.9242</v>
      </c>
      <c r="I26" s="76" t="s">
        <v>1558</v>
      </c>
    </row>
    <row r="27">
      <c r="A27" s="76" t="s">
        <v>153</v>
      </c>
      <c r="B27" s="77" t="s">
        <v>153</v>
      </c>
      <c r="C27" s="77" t="s">
        <v>84</v>
      </c>
      <c r="D27" s="77" t="s">
        <v>280</v>
      </c>
      <c r="E27" s="76" t="s">
        <v>1488</v>
      </c>
      <c r="F27" s="76" t="s">
        <v>152</v>
      </c>
      <c r="G27" s="76" t="s">
        <v>1489</v>
      </c>
      <c r="H27" s="76">
        <v>35.8541</v>
      </c>
      <c r="I27" s="76" t="s">
        <v>1559</v>
      </c>
    </row>
    <row r="28">
      <c r="A28" s="76" t="s">
        <v>108</v>
      </c>
      <c r="B28" s="79" t="s">
        <v>108</v>
      </c>
      <c r="C28" s="77" t="s">
        <v>84</v>
      </c>
      <c r="D28" s="77" t="s">
        <v>280</v>
      </c>
      <c r="E28" s="76" t="s">
        <v>1560</v>
      </c>
      <c r="F28" s="76" t="s">
        <v>107</v>
      </c>
      <c r="G28" s="76" t="s">
        <v>1489</v>
      </c>
      <c r="H28" s="76">
        <v>33.5231</v>
      </c>
      <c r="I28" s="76" t="s">
        <v>1561</v>
      </c>
    </row>
    <row r="29">
      <c r="A29" s="76" t="s">
        <v>90</v>
      </c>
      <c r="B29" s="77" t="s">
        <v>90</v>
      </c>
      <c r="C29" s="77" t="s">
        <v>84</v>
      </c>
      <c r="D29" s="77" t="s">
        <v>280</v>
      </c>
      <c r="E29" s="76" t="s">
        <v>1491</v>
      </c>
      <c r="F29" s="76" t="s">
        <v>89</v>
      </c>
      <c r="G29" s="76" t="s">
        <v>1489</v>
      </c>
      <c r="H29" s="76">
        <v>33.4189</v>
      </c>
      <c r="I29" s="76" t="s">
        <v>1562</v>
      </c>
    </row>
    <row r="30">
      <c r="A30" s="76" t="s">
        <v>83</v>
      </c>
      <c r="B30" s="77" t="s">
        <v>83</v>
      </c>
      <c r="C30" s="77" t="s">
        <v>84</v>
      </c>
      <c r="D30" s="77" t="s">
        <v>280</v>
      </c>
      <c r="E30" s="76" t="s">
        <v>1491</v>
      </c>
      <c r="F30" s="76" t="s">
        <v>82</v>
      </c>
      <c r="G30" s="76" t="s">
        <v>1489</v>
      </c>
      <c r="H30" s="76">
        <v>36.106</v>
      </c>
      <c r="I30" s="76" t="s">
        <v>1563</v>
      </c>
    </row>
    <row r="31">
      <c r="A31" s="76" t="s">
        <v>102</v>
      </c>
      <c r="B31" s="77" t="s">
        <v>102</v>
      </c>
      <c r="C31" s="77" t="s">
        <v>84</v>
      </c>
      <c r="D31" s="77" t="s">
        <v>280</v>
      </c>
      <c r="E31" s="76" t="s">
        <v>1491</v>
      </c>
      <c r="F31" s="76" t="s">
        <v>101</v>
      </c>
      <c r="G31" s="76" t="s">
        <v>1489</v>
      </c>
      <c r="H31" s="76">
        <v>33.9222</v>
      </c>
      <c r="I31" s="76" t="s">
        <v>1564</v>
      </c>
    </row>
    <row r="32">
      <c r="A32" s="76" t="s">
        <v>137</v>
      </c>
      <c r="B32" s="77" t="s">
        <v>137</v>
      </c>
      <c r="C32" s="77" t="s">
        <v>84</v>
      </c>
      <c r="D32" s="77" t="s">
        <v>280</v>
      </c>
      <c r="E32" s="76" t="s">
        <v>1488</v>
      </c>
      <c r="F32" s="76" t="s">
        <v>136</v>
      </c>
      <c r="G32" s="76" t="s">
        <v>1489</v>
      </c>
      <c r="H32" s="76">
        <v>37.0224</v>
      </c>
      <c r="I32" s="76" t="s">
        <v>1565</v>
      </c>
    </row>
    <row r="33">
      <c r="A33" s="76" t="s">
        <v>125</v>
      </c>
      <c r="B33" s="77" t="s">
        <v>125</v>
      </c>
      <c r="C33" s="77" t="s">
        <v>84</v>
      </c>
      <c r="D33" s="77" t="s">
        <v>280</v>
      </c>
      <c r="E33" s="76" t="s">
        <v>1566</v>
      </c>
      <c r="F33" s="76" t="s">
        <v>124</v>
      </c>
      <c r="G33" s="76" t="s">
        <v>1489</v>
      </c>
      <c r="H33" s="76">
        <v>35.6281</v>
      </c>
      <c r="I33" s="76" t="s">
        <v>1567</v>
      </c>
    </row>
    <row r="34">
      <c r="A34" s="76" t="s">
        <v>1568</v>
      </c>
      <c r="B34" s="77" t="s">
        <v>184</v>
      </c>
      <c r="C34" s="77" t="s">
        <v>160</v>
      </c>
      <c r="D34" s="77" t="s">
        <v>280</v>
      </c>
      <c r="E34" s="76" t="s">
        <v>1569</v>
      </c>
      <c r="F34" s="76" t="s">
        <v>1570</v>
      </c>
      <c r="G34" s="76" t="s">
        <v>1489</v>
      </c>
      <c r="H34" s="76">
        <v>45.4332</v>
      </c>
      <c r="I34" s="76" t="s">
        <v>1571</v>
      </c>
    </row>
    <row r="35">
      <c r="A35" s="76" t="s">
        <v>1572</v>
      </c>
      <c r="B35" s="77" t="s">
        <v>184</v>
      </c>
      <c r="C35" s="77" t="s">
        <v>160</v>
      </c>
      <c r="D35" s="77" t="s">
        <v>280</v>
      </c>
      <c r="E35" s="76" t="s">
        <v>1521</v>
      </c>
      <c r="F35" s="76" t="s">
        <v>183</v>
      </c>
      <c r="G35" s="76" t="s">
        <v>1489</v>
      </c>
      <c r="H35" s="76">
        <v>41.5221</v>
      </c>
      <c r="I35" s="76" t="s">
        <v>1573</v>
      </c>
    </row>
    <row r="36">
      <c r="A36" s="76" t="s">
        <v>1574</v>
      </c>
      <c r="B36" s="77" t="s">
        <v>159</v>
      </c>
      <c r="C36" s="77" t="s">
        <v>160</v>
      </c>
      <c r="D36" s="77" t="s">
        <v>280</v>
      </c>
      <c r="E36" s="76" t="s">
        <v>1575</v>
      </c>
      <c r="F36" s="76" t="s">
        <v>1576</v>
      </c>
      <c r="G36" s="76" t="s">
        <v>1489</v>
      </c>
      <c r="H36" s="76">
        <v>36.799</v>
      </c>
      <c r="I36" s="76" t="s">
        <v>1577</v>
      </c>
    </row>
    <row r="37">
      <c r="A37" s="76" t="s">
        <v>1578</v>
      </c>
      <c r="B37" s="77" t="s">
        <v>159</v>
      </c>
      <c r="C37" s="77" t="s">
        <v>160</v>
      </c>
      <c r="D37" s="77" t="s">
        <v>280</v>
      </c>
      <c r="E37" s="76" t="s">
        <v>1575</v>
      </c>
      <c r="F37" s="76" t="s">
        <v>158</v>
      </c>
      <c r="G37" s="76" t="s">
        <v>1489</v>
      </c>
      <c r="H37" s="76">
        <v>30.8485</v>
      </c>
      <c r="I37" s="76" t="s">
        <v>1579</v>
      </c>
    </row>
    <row r="38">
      <c r="A38" s="76" t="s">
        <v>1580</v>
      </c>
      <c r="B38" s="77" t="s">
        <v>242</v>
      </c>
      <c r="C38" s="77" t="s">
        <v>160</v>
      </c>
      <c r="D38" s="77" t="s">
        <v>280</v>
      </c>
      <c r="E38" s="76" t="s">
        <v>1581</v>
      </c>
      <c r="F38" s="76" t="s">
        <v>241</v>
      </c>
      <c r="G38" s="76" t="s">
        <v>1489</v>
      </c>
      <c r="H38" s="76">
        <v>38.1584</v>
      </c>
      <c r="I38" s="76" t="s">
        <v>1582</v>
      </c>
    </row>
    <row r="39">
      <c r="A39" s="76" t="s">
        <v>1583</v>
      </c>
      <c r="B39" s="77" t="s">
        <v>242</v>
      </c>
      <c r="C39" s="77" t="s">
        <v>160</v>
      </c>
      <c r="D39" s="77" t="s">
        <v>280</v>
      </c>
      <c r="E39" s="76" t="s">
        <v>1581</v>
      </c>
      <c r="F39" s="76" t="s">
        <v>1584</v>
      </c>
      <c r="G39" s="76" t="s">
        <v>1489</v>
      </c>
      <c r="H39" s="76">
        <v>34.6199</v>
      </c>
      <c r="I39" s="76" t="s">
        <v>1582</v>
      </c>
    </row>
    <row r="40">
      <c r="A40" s="76" t="s">
        <v>248</v>
      </c>
      <c r="B40" s="77" t="s">
        <v>248</v>
      </c>
      <c r="C40" s="77" t="s">
        <v>160</v>
      </c>
      <c r="D40" s="77" t="s">
        <v>280</v>
      </c>
      <c r="E40" s="76" t="s">
        <v>1585</v>
      </c>
      <c r="F40" s="76" t="s">
        <v>247</v>
      </c>
      <c r="G40" s="76" t="s">
        <v>1489</v>
      </c>
      <c r="H40" s="76">
        <v>33.5012</v>
      </c>
      <c r="I40" s="76" t="s">
        <v>1586</v>
      </c>
    </row>
    <row r="41">
      <c r="A41" s="76" t="s">
        <v>222</v>
      </c>
      <c r="B41" s="77" t="s">
        <v>222</v>
      </c>
      <c r="C41" s="77" t="s">
        <v>160</v>
      </c>
      <c r="D41" s="77" t="s">
        <v>280</v>
      </c>
      <c r="E41" s="76" t="s">
        <v>1504</v>
      </c>
      <c r="F41" s="76" t="s">
        <v>221</v>
      </c>
      <c r="G41" s="76" t="s">
        <v>1489</v>
      </c>
      <c r="H41" s="76">
        <v>34.1048</v>
      </c>
      <c r="I41" s="76" t="s">
        <v>1587</v>
      </c>
    </row>
    <row r="42">
      <c r="A42" s="76" t="s">
        <v>1588</v>
      </c>
      <c r="B42" s="77" t="s">
        <v>201</v>
      </c>
      <c r="C42" s="77" t="s">
        <v>160</v>
      </c>
      <c r="D42" s="77" t="s">
        <v>280</v>
      </c>
      <c r="E42" s="76" t="s">
        <v>1589</v>
      </c>
      <c r="F42" s="76" t="s">
        <v>200</v>
      </c>
      <c r="G42" s="76" t="s">
        <v>1489</v>
      </c>
      <c r="H42" s="76">
        <v>34.8525</v>
      </c>
      <c r="I42" s="76" t="s">
        <v>1590</v>
      </c>
    </row>
    <row r="43">
      <c r="A43" s="76" t="s">
        <v>1591</v>
      </c>
      <c r="B43" s="77" t="s">
        <v>201</v>
      </c>
      <c r="C43" s="77" t="s">
        <v>160</v>
      </c>
      <c r="D43" s="77" t="s">
        <v>280</v>
      </c>
      <c r="E43" s="76" t="s">
        <v>1589</v>
      </c>
      <c r="F43" s="76" t="s">
        <v>1592</v>
      </c>
      <c r="G43" s="76" t="s">
        <v>1489</v>
      </c>
      <c r="H43" s="76">
        <v>41.6834</v>
      </c>
      <c r="I43" s="76" t="s">
        <v>1590</v>
      </c>
    </row>
    <row r="44">
      <c r="A44" s="76" t="s">
        <v>1593</v>
      </c>
      <c r="B44" s="77" t="s">
        <v>216</v>
      </c>
      <c r="C44" s="77" t="s">
        <v>160</v>
      </c>
      <c r="D44" s="77" t="s">
        <v>280</v>
      </c>
      <c r="E44" s="76" t="s">
        <v>1594</v>
      </c>
      <c r="F44" s="76" t="s">
        <v>1595</v>
      </c>
      <c r="G44" s="76" t="s">
        <v>1489</v>
      </c>
      <c r="H44" s="76">
        <v>44.4775</v>
      </c>
      <c r="I44" s="76" t="s">
        <v>1596</v>
      </c>
    </row>
    <row r="45">
      <c r="A45" s="80" t="s">
        <v>1597</v>
      </c>
      <c r="B45" s="79" t="s">
        <v>216</v>
      </c>
      <c r="C45" s="79" t="s">
        <v>160</v>
      </c>
      <c r="D45" s="79" t="s">
        <v>280</v>
      </c>
      <c r="E45" s="80" t="s">
        <v>1594</v>
      </c>
      <c r="F45" s="76" t="s">
        <v>215</v>
      </c>
      <c r="G45" s="76" t="s">
        <v>1489</v>
      </c>
      <c r="H45" s="76">
        <v>33.9245</v>
      </c>
      <c r="I45" s="76" t="s">
        <v>1596</v>
      </c>
    </row>
    <row r="46">
      <c r="A46" s="80" t="s">
        <v>166</v>
      </c>
      <c r="B46" s="79" t="s">
        <v>166</v>
      </c>
      <c r="C46" s="79" t="s">
        <v>160</v>
      </c>
      <c r="D46" s="79" t="s">
        <v>280</v>
      </c>
      <c r="E46" s="80" t="s">
        <v>1598</v>
      </c>
      <c r="F46" s="76" t="s">
        <v>165</v>
      </c>
      <c r="G46" s="76" t="s">
        <v>1489</v>
      </c>
      <c r="H46" s="76">
        <v>42.7259</v>
      </c>
      <c r="I46" s="76" t="s">
        <v>1599</v>
      </c>
    </row>
    <row r="47">
      <c r="A47" s="80" t="s">
        <v>172</v>
      </c>
      <c r="B47" s="79" t="s">
        <v>172</v>
      </c>
      <c r="C47" s="79" t="s">
        <v>160</v>
      </c>
      <c r="D47" s="79" t="s">
        <v>280</v>
      </c>
      <c r="E47" s="80" t="s">
        <v>1598</v>
      </c>
      <c r="F47" s="76" t="s">
        <v>171</v>
      </c>
      <c r="G47" s="76" t="s">
        <v>1489</v>
      </c>
      <c r="H47" s="76">
        <v>40.7276</v>
      </c>
      <c r="I47" s="76" t="s">
        <v>1600</v>
      </c>
    </row>
    <row r="48">
      <c r="A48" s="80" t="s">
        <v>1601</v>
      </c>
      <c r="B48" s="79" t="s">
        <v>1601</v>
      </c>
      <c r="C48" s="79" t="s">
        <v>160</v>
      </c>
      <c r="D48" s="79" t="s">
        <v>280</v>
      </c>
      <c r="E48" s="80" t="s">
        <v>1575</v>
      </c>
      <c r="F48" s="76" t="s">
        <v>177</v>
      </c>
      <c r="G48" s="76" t="s">
        <v>1489</v>
      </c>
      <c r="H48" s="76">
        <v>29.6888</v>
      </c>
      <c r="I48" s="76" t="s">
        <v>1602</v>
      </c>
    </row>
    <row r="49">
      <c r="A49" s="76" t="s">
        <v>1603</v>
      </c>
      <c r="B49" s="77" t="s">
        <v>319</v>
      </c>
      <c r="C49" s="77" t="s">
        <v>281</v>
      </c>
      <c r="D49" s="77" t="s">
        <v>280</v>
      </c>
      <c r="E49" s="76" t="s">
        <v>1521</v>
      </c>
      <c r="F49" s="76" t="s">
        <v>1604</v>
      </c>
      <c r="G49" s="76" t="s">
        <v>1489</v>
      </c>
      <c r="H49" s="76">
        <v>36.5732</v>
      </c>
      <c r="I49" s="76" t="s">
        <v>1605</v>
      </c>
    </row>
    <row r="50">
      <c r="A50" s="76" t="s">
        <v>1606</v>
      </c>
      <c r="B50" s="77" t="s">
        <v>319</v>
      </c>
      <c r="C50" s="77" t="s">
        <v>281</v>
      </c>
      <c r="D50" s="77" t="s">
        <v>280</v>
      </c>
      <c r="E50" s="76" t="s">
        <v>1521</v>
      </c>
      <c r="F50" s="76" t="s">
        <v>318</v>
      </c>
      <c r="G50" s="76" t="s">
        <v>1489</v>
      </c>
      <c r="H50" s="76">
        <v>41.9069</v>
      </c>
      <c r="I50" s="76" t="s">
        <v>1607</v>
      </c>
    </row>
    <row r="51">
      <c r="A51" s="76" t="s">
        <v>1608</v>
      </c>
      <c r="B51" s="77" t="s">
        <v>319</v>
      </c>
      <c r="C51" s="77" t="s">
        <v>281</v>
      </c>
      <c r="D51" s="77" t="s">
        <v>280</v>
      </c>
      <c r="E51" s="76" t="s">
        <v>1609</v>
      </c>
      <c r="F51" s="76" t="s">
        <v>1610</v>
      </c>
      <c r="G51" s="76" t="s">
        <v>1489</v>
      </c>
      <c r="H51" s="76">
        <v>34.7043</v>
      </c>
      <c r="I51" s="76" t="s">
        <v>1611</v>
      </c>
    </row>
    <row r="52">
      <c r="A52" s="76" t="s">
        <v>287</v>
      </c>
      <c r="B52" s="77" t="s">
        <v>287</v>
      </c>
      <c r="C52" s="77" t="s">
        <v>281</v>
      </c>
      <c r="D52" s="77" t="s">
        <v>280</v>
      </c>
      <c r="E52" s="76" t="s">
        <v>1521</v>
      </c>
      <c r="F52" s="76" t="s">
        <v>286</v>
      </c>
      <c r="G52" s="76" t="s">
        <v>1489</v>
      </c>
      <c r="H52" s="76">
        <v>39.7463</v>
      </c>
      <c r="I52" s="76" t="s">
        <v>1612</v>
      </c>
    </row>
    <row r="53">
      <c r="A53" s="76" t="s">
        <v>1613</v>
      </c>
      <c r="B53" s="77" t="s">
        <v>305</v>
      </c>
      <c r="C53" s="77" t="s">
        <v>281</v>
      </c>
      <c r="D53" s="77" t="s">
        <v>280</v>
      </c>
      <c r="E53" s="76" t="s">
        <v>1614</v>
      </c>
      <c r="F53" s="76" t="s">
        <v>304</v>
      </c>
      <c r="G53" s="76" t="s">
        <v>1489</v>
      </c>
      <c r="H53" s="76">
        <v>25.5943</v>
      </c>
      <c r="I53" s="76" t="s">
        <v>1611</v>
      </c>
    </row>
    <row r="54">
      <c r="A54" s="76" t="s">
        <v>1615</v>
      </c>
      <c r="B54" s="77" t="s">
        <v>305</v>
      </c>
      <c r="C54" s="77" t="s">
        <v>281</v>
      </c>
      <c r="D54" s="77" t="s">
        <v>280</v>
      </c>
      <c r="E54" s="76" t="s">
        <v>1521</v>
      </c>
      <c r="F54" s="76" t="s">
        <v>1616</v>
      </c>
      <c r="G54" s="76" t="s">
        <v>1489</v>
      </c>
      <c r="H54" s="76">
        <v>47.1689</v>
      </c>
      <c r="I54" s="76" t="s">
        <v>1617</v>
      </c>
    </row>
    <row r="55">
      <c r="A55" s="76" t="s">
        <v>325</v>
      </c>
      <c r="B55" s="77" t="s">
        <v>325</v>
      </c>
      <c r="C55" s="77" t="s">
        <v>281</v>
      </c>
      <c r="D55" s="77" t="s">
        <v>280</v>
      </c>
      <c r="E55" s="76" t="s">
        <v>1521</v>
      </c>
      <c r="F55" s="76" t="s">
        <v>324</v>
      </c>
      <c r="G55" s="76" t="s">
        <v>1489</v>
      </c>
      <c r="H55" s="76">
        <v>37.3377</v>
      </c>
      <c r="I55" s="76" t="s">
        <v>1618</v>
      </c>
    </row>
    <row r="56">
      <c r="A56" s="76" t="s">
        <v>279</v>
      </c>
      <c r="B56" s="77" t="s">
        <v>279</v>
      </c>
      <c r="C56" s="77" t="s">
        <v>281</v>
      </c>
      <c r="D56" s="77" t="s">
        <v>280</v>
      </c>
      <c r="E56" s="76" t="s">
        <v>1619</v>
      </c>
      <c r="F56" s="76" t="s">
        <v>278</v>
      </c>
      <c r="G56" s="76" t="s">
        <v>1489</v>
      </c>
      <c r="H56" s="76">
        <v>42.2726</v>
      </c>
      <c r="I56" s="76" t="s">
        <v>1620</v>
      </c>
    </row>
    <row r="57">
      <c r="A57" s="76" t="s">
        <v>293</v>
      </c>
      <c r="B57" s="77" t="s">
        <v>293</v>
      </c>
      <c r="C57" s="77" t="s">
        <v>281</v>
      </c>
      <c r="D57" s="77" t="s">
        <v>280</v>
      </c>
      <c r="E57" s="76" t="s">
        <v>1621</v>
      </c>
      <c r="F57" s="76" t="s">
        <v>292</v>
      </c>
      <c r="G57" s="76" t="s">
        <v>1489</v>
      </c>
      <c r="H57" s="76">
        <v>44.7412</v>
      </c>
      <c r="I57" s="76" t="s">
        <v>1622</v>
      </c>
    </row>
    <row r="58">
      <c r="A58" s="76" t="s">
        <v>1623</v>
      </c>
      <c r="B58" s="77" t="s">
        <v>1623</v>
      </c>
      <c r="C58" s="77" t="s">
        <v>281</v>
      </c>
      <c r="D58" s="77" t="s">
        <v>280</v>
      </c>
      <c r="E58" s="76" t="s">
        <v>1521</v>
      </c>
      <c r="F58" s="76" t="s">
        <v>298</v>
      </c>
      <c r="G58" s="76" t="s">
        <v>1489</v>
      </c>
      <c r="H58" s="76">
        <v>39.7763</v>
      </c>
      <c r="I58" s="76" t="s">
        <v>1624</v>
      </c>
    </row>
    <row r="59">
      <c r="A59" s="76" t="s">
        <v>344</v>
      </c>
      <c r="B59" s="77" t="s">
        <v>344</v>
      </c>
      <c r="C59" s="77" t="s">
        <v>345</v>
      </c>
      <c r="D59" s="77" t="s">
        <v>280</v>
      </c>
      <c r="E59" s="76" t="s">
        <v>1625</v>
      </c>
      <c r="F59" s="76" t="s">
        <v>343</v>
      </c>
      <c r="G59" s="76" t="s">
        <v>1489</v>
      </c>
      <c r="H59" s="76">
        <v>40.2133</v>
      </c>
      <c r="I59" s="76" t="s">
        <v>1626</v>
      </c>
    </row>
    <row r="60">
      <c r="A60" s="76" t="s">
        <v>357</v>
      </c>
      <c r="B60" s="77" t="s">
        <v>357</v>
      </c>
      <c r="C60" s="77" t="s">
        <v>345</v>
      </c>
      <c r="D60" s="77" t="s">
        <v>280</v>
      </c>
      <c r="E60" s="76" t="s">
        <v>1627</v>
      </c>
      <c r="F60" s="76" t="s">
        <v>356</v>
      </c>
      <c r="G60" s="76" t="s">
        <v>1489</v>
      </c>
      <c r="H60" s="76">
        <v>32.1751</v>
      </c>
      <c r="I60" s="76" t="s">
        <v>1628</v>
      </c>
    </row>
    <row r="61">
      <c r="A61" s="76" t="s">
        <v>351</v>
      </c>
      <c r="B61" s="77" t="s">
        <v>351</v>
      </c>
      <c r="C61" s="77" t="s">
        <v>345</v>
      </c>
      <c r="D61" s="77" t="s">
        <v>280</v>
      </c>
      <c r="E61" s="76" t="s">
        <v>1629</v>
      </c>
      <c r="F61" s="76" t="s">
        <v>350</v>
      </c>
      <c r="G61" s="76" t="s">
        <v>1489</v>
      </c>
      <c r="H61" s="76">
        <v>33.5619</v>
      </c>
      <c r="I61" s="76" t="s">
        <v>1630</v>
      </c>
    </row>
    <row r="62">
      <c r="A62" s="76" t="s">
        <v>338</v>
      </c>
      <c r="B62" s="77" t="s">
        <v>338</v>
      </c>
      <c r="C62" s="77" t="s">
        <v>332</v>
      </c>
      <c r="D62" s="77" t="s">
        <v>280</v>
      </c>
      <c r="E62" s="76" t="s">
        <v>1631</v>
      </c>
      <c r="F62" s="76" t="s">
        <v>337</v>
      </c>
      <c r="G62" s="76" t="s">
        <v>1489</v>
      </c>
      <c r="H62" s="76">
        <v>38.1186</v>
      </c>
      <c r="I62" s="76" t="s">
        <v>1632</v>
      </c>
    </row>
    <row r="63">
      <c r="A63" s="76" t="s">
        <v>331</v>
      </c>
      <c r="B63" s="77" t="s">
        <v>331</v>
      </c>
      <c r="C63" s="77" t="s">
        <v>332</v>
      </c>
      <c r="D63" s="77" t="s">
        <v>280</v>
      </c>
      <c r="E63" s="76" t="s">
        <v>1633</v>
      </c>
      <c r="F63" s="76" t="s">
        <v>330</v>
      </c>
      <c r="G63" s="76" t="s">
        <v>1489</v>
      </c>
      <c r="H63" s="76">
        <v>43.779</v>
      </c>
      <c r="I63" s="76" t="s">
        <v>1634</v>
      </c>
    </row>
    <row r="64">
      <c r="A64" s="76" t="s">
        <v>502</v>
      </c>
      <c r="B64" s="77" t="s">
        <v>502</v>
      </c>
      <c r="C64" s="77" t="s">
        <v>503</v>
      </c>
      <c r="D64" s="77" t="s">
        <v>280</v>
      </c>
      <c r="E64" s="76" t="s">
        <v>1635</v>
      </c>
      <c r="F64" s="76" t="s">
        <v>501</v>
      </c>
      <c r="G64" s="76" t="s">
        <v>1489</v>
      </c>
      <c r="H64" s="76">
        <v>35.4139</v>
      </c>
      <c r="I64" s="76" t="s">
        <v>1636</v>
      </c>
    </row>
    <row r="65">
      <c r="A65" s="76" t="s">
        <v>509</v>
      </c>
      <c r="B65" s="77" t="s">
        <v>509</v>
      </c>
      <c r="C65" s="77" t="s">
        <v>503</v>
      </c>
      <c r="D65" s="77" t="s">
        <v>280</v>
      </c>
      <c r="E65" s="76" t="s">
        <v>1637</v>
      </c>
      <c r="F65" s="76" t="s">
        <v>508</v>
      </c>
      <c r="G65" s="76" t="s">
        <v>1489</v>
      </c>
      <c r="H65" s="76">
        <v>28.6056</v>
      </c>
      <c r="I65" s="76" t="s">
        <v>1634</v>
      </c>
    </row>
    <row r="66">
      <c r="A66" s="76" t="s">
        <v>1638</v>
      </c>
      <c r="B66" s="77" t="s">
        <v>423</v>
      </c>
      <c r="C66" s="77" t="s">
        <v>280</v>
      </c>
      <c r="D66" s="77" t="s">
        <v>280</v>
      </c>
      <c r="E66" s="76" t="s">
        <v>1486</v>
      </c>
      <c r="F66" s="76" t="s">
        <v>1639</v>
      </c>
      <c r="G66" s="76" t="s">
        <v>1639</v>
      </c>
      <c r="H66" s="76" t="s">
        <v>1486</v>
      </c>
      <c r="I66" s="76" t="s">
        <v>1486</v>
      </c>
    </row>
    <row r="67">
      <c r="A67" s="76" t="s">
        <v>406</v>
      </c>
      <c r="B67" s="77" t="s">
        <v>406</v>
      </c>
      <c r="C67" s="77" t="s">
        <v>280</v>
      </c>
      <c r="D67" s="77" t="s">
        <v>280</v>
      </c>
      <c r="E67" s="76" t="s">
        <v>1640</v>
      </c>
      <c r="F67" s="76" t="s">
        <v>405</v>
      </c>
      <c r="G67" s="76" t="s">
        <v>1489</v>
      </c>
      <c r="H67" s="76">
        <v>32.9312</v>
      </c>
      <c r="I67" s="76" t="s">
        <v>1641</v>
      </c>
    </row>
    <row r="68">
      <c r="A68" s="76" t="s">
        <v>1642</v>
      </c>
      <c r="B68" s="77" t="s">
        <v>480</v>
      </c>
      <c r="C68" s="77" t="s">
        <v>280</v>
      </c>
      <c r="D68" s="77" t="s">
        <v>280</v>
      </c>
      <c r="E68" s="76" t="s">
        <v>1643</v>
      </c>
      <c r="F68" s="76" t="s">
        <v>1644</v>
      </c>
      <c r="G68" s="76" t="s">
        <v>1489</v>
      </c>
      <c r="H68" s="76">
        <v>28.1015</v>
      </c>
      <c r="I68" s="76" t="s">
        <v>1645</v>
      </c>
    </row>
    <row r="69">
      <c r="A69" s="76" t="s">
        <v>1646</v>
      </c>
      <c r="B69" s="77" t="s">
        <v>480</v>
      </c>
      <c r="C69" s="77" t="s">
        <v>280</v>
      </c>
      <c r="D69" s="77" t="s">
        <v>280</v>
      </c>
      <c r="E69" s="76" t="s">
        <v>1521</v>
      </c>
      <c r="F69" s="76" t="s">
        <v>479</v>
      </c>
      <c r="G69" s="76" t="s">
        <v>1489</v>
      </c>
      <c r="H69" s="76">
        <v>28.4025</v>
      </c>
      <c r="I69" s="76" t="s">
        <v>1647</v>
      </c>
    </row>
    <row r="70">
      <c r="A70" s="76" t="s">
        <v>381</v>
      </c>
      <c r="B70" s="77" t="s">
        <v>381</v>
      </c>
      <c r="C70" s="77" t="s">
        <v>280</v>
      </c>
      <c r="D70" s="77" t="s">
        <v>280</v>
      </c>
      <c r="E70" s="76" t="s">
        <v>1521</v>
      </c>
      <c r="F70" s="76" t="s">
        <v>380</v>
      </c>
      <c r="G70" s="76" t="s">
        <v>1489</v>
      </c>
      <c r="H70" s="76">
        <v>36.0262</v>
      </c>
      <c r="I70" s="76" t="s">
        <v>1648</v>
      </c>
    </row>
    <row r="71">
      <c r="A71" s="76" t="s">
        <v>1649</v>
      </c>
      <c r="B71" s="77" t="s">
        <v>363</v>
      </c>
      <c r="C71" s="77" t="s">
        <v>280</v>
      </c>
      <c r="D71" s="77" t="s">
        <v>280</v>
      </c>
      <c r="E71" s="76" t="s">
        <v>1650</v>
      </c>
      <c r="F71" s="76" t="s">
        <v>1651</v>
      </c>
      <c r="G71" s="76" t="s">
        <v>1489</v>
      </c>
      <c r="H71" s="76">
        <v>35.2807</v>
      </c>
      <c r="I71" s="76" t="s">
        <v>1634</v>
      </c>
    </row>
    <row r="72">
      <c r="A72" s="76" t="s">
        <v>1652</v>
      </c>
      <c r="B72" s="77" t="s">
        <v>363</v>
      </c>
      <c r="C72" s="77" t="s">
        <v>280</v>
      </c>
      <c r="D72" s="77" t="s">
        <v>280</v>
      </c>
      <c r="E72" s="76" t="s">
        <v>1650</v>
      </c>
      <c r="F72" s="76" t="s">
        <v>1653</v>
      </c>
      <c r="G72" s="76" t="s">
        <v>1489</v>
      </c>
      <c r="H72" s="76">
        <v>34.4845</v>
      </c>
      <c r="I72" s="76" t="s">
        <v>1634</v>
      </c>
    </row>
    <row r="73">
      <c r="A73" s="76" t="s">
        <v>1654</v>
      </c>
      <c r="B73" s="77" t="s">
        <v>474</v>
      </c>
      <c r="C73" s="77" t="s">
        <v>280</v>
      </c>
      <c r="D73" s="77" t="s">
        <v>280</v>
      </c>
      <c r="E73" s="76" t="s">
        <v>1486</v>
      </c>
      <c r="F73" s="76" t="s">
        <v>1655</v>
      </c>
      <c r="G73" s="76" t="s">
        <v>1486</v>
      </c>
      <c r="H73" s="76" t="s">
        <v>1486</v>
      </c>
      <c r="I73" s="76" t="s">
        <v>1486</v>
      </c>
    </row>
    <row r="74">
      <c r="A74" s="76" t="s">
        <v>474</v>
      </c>
      <c r="B74" s="77" t="s">
        <v>474</v>
      </c>
      <c r="C74" s="77" t="s">
        <v>280</v>
      </c>
      <c r="D74" s="77" t="s">
        <v>280</v>
      </c>
      <c r="E74" s="76" t="s">
        <v>1521</v>
      </c>
      <c r="F74" s="76" t="s">
        <v>473</v>
      </c>
      <c r="G74" s="76" t="s">
        <v>1489</v>
      </c>
      <c r="H74" s="76">
        <v>31.0224</v>
      </c>
      <c r="I74" s="76" t="s">
        <v>1656</v>
      </c>
    </row>
    <row r="75">
      <c r="A75" s="76" t="s">
        <v>456</v>
      </c>
      <c r="B75" s="77" t="s">
        <v>456</v>
      </c>
      <c r="C75" s="77" t="s">
        <v>280</v>
      </c>
      <c r="D75" s="77" t="s">
        <v>280</v>
      </c>
      <c r="E75" s="76" t="s">
        <v>1521</v>
      </c>
      <c r="F75" s="76" t="s">
        <v>1657</v>
      </c>
      <c r="G75" s="76" t="s">
        <v>1489</v>
      </c>
      <c r="H75" s="76">
        <v>40.6156</v>
      </c>
      <c r="I75" s="76" t="s">
        <v>1658</v>
      </c>
    </row>
    <row r="76">
      <c r="A76" s="76" t="s">
        <v>468</v>
      </c>
      <c r="B76" s="77" t="s">
        <v>468</v>
      </c>
      <c r="C76" s="77" t="s">
        <v>280</v>
      </c>
      <c r="D76" s="77" t="s">
        <v>280</v>
      </c>
      <c r="E76" s="76" t="s">
        <v>1521</v>
      </c>
      <c r="F76" s="76" t="s">
        <v>467</v>
      </c>
      <c r="G76" s="76" t="s">
        <v>1489</v>
      </c>
      <c r="H76" s="76">
        <v>44.2623</v>
      </c>
      <c r="I76" s="76" t="s">
        <v>1659</v>
      </c>
    </row>
    <row r="77">
      <c r="A77" s="76" t="s">
        <v>1660</v>
      </c>
      <c r="B77" s="77" t="s">
        <v>1661</v>
      </c>
      <c r="C77" s="77" t="s">
        <v>280</v>
      </c>
      <c r="D77" s="77" t="s">
        <v>280</v>
      </c>
      <c r="E77" s="76" t="s">
        <v>1662</v>
      </c>
      <c r="F77" s="76" t="s">
        <v>411</v>
      </c>
      <c r="G77" s="76" t="s">
        <v>1489</v>
      </c>
      <c r="H77" s="76">
        <v>28.5642</v>
      </c>
      <c r="I77" s="76" t="s">
        <v>1663</v>
      </c>
    </row>
    <row r="78">
      <c r="A78" s="76" t="s">
        <v>1664</v>
      </c>
      <c r="B78" s="77" t="s">
        <v>1661</v>
      </c>
      <c r="C78" s="77" t="s">
        <v>280</v>
      </c>
      <c r="D78" s="77" t="s">
        <v>280</v>
      </c>
      <c r="E78" s="76" t="s">
        <v>1665</v>
      </c>
      <c r="F78" s="76" t="s">
        <v>1666</v>
      </c>
      <c r="G78" s="76" t="s">
        <v>1489</v>
      </c>
      <c r="H78" s="76">
        <v>22.8187</v>
      </c>
      <c r="I78" s="76" t="s">
        <v>1667</v>
      </c>
    </row>
    <row r="79">
      <c r="A79" s="76" t="s">
        <v>1668</v>
      </c>
      <c r="B79" s="77" t="s">
        <v>486</v>
      </c>
      <c r="C79" s="77" t="s">
        <v>280</v>
      </c>
      <c r="D79" s="77" t="s">
        <v>280</v>
      </c>
      <c r="E79" s="76" t="s">
        <v>1669</v>
      </c>
      <c r="F79" s="76" t="s">
        <v>485</v>
      </c>
      <c r="G79" s="76" t="s">
        <v>1489</v>
      </c>
      <c r="H79" s="76">
        <v>41.189</v>
      </c>
      <c r="I79" s="76" t="s">
        <v>1670</v>
      </c>
    </row>
    <row r="80">
      <c r="A80" s="76" t="s">
        <v>1671</v>
      </c>
      <c r="B80" s="77" t="s">
        <v>486</v>
      </c>
      <c r="C80" s="77" t="s">
        <v>280</v>
      </c>
      <c r="D80" s="77" t="s">
        <v>280</v>
      </c>
      <c r="E80" s="76" t="s">
        <v>1672</v>
      </c>
      <c r="F80" s="76" t="s">
        <v>1673</v>
      </c>
      <c r="G80" s="76" t="s">
        <v>1489</v>
      </c>
      <c r="H80" s="76">
        <v>27.689</v>
      </c>
      <c r="I80" s="76" t="s">
        <v>1674</v>
      </c>
    </row>
    <row r="81">
      <c r="A81" s="76" t="s">
        <v>1675</v>
      </c>
      <c r="B81" s="77" t="s">
        <v>367</v>
      </c>
      <c r="C81" s="77" t="s">
        <v>280</v>
      </c>
      <c r="D81" s="77" t="s">
        <v>280</v>
      </c>
      <c r="E81" s="76" t="s">
        <v>1676</v>
      </c>
      <c r="F81" s="76" t="s">
        <v>1677</v>
      </c>
      <c r="G81" s="76" t="s">
        <v>1489</v>
      </c>
      <c r="H81" s="76">
        <v>29.6757</v>
      </c>
      <c r="I81" s="76" t="s">
        <v>1678</v>
      </c>
    </row>
    <row r="82">
      <c r="A82" s="76" t="s">
        <v>1679</v>
      </c>
      <c r="B82" s="77" t="s">
        <v>367</v>
      </c>
      <c r="C82" s="77" t="s">
        <v>280</v>
      </c>
      <c r="D82" s="77" t="s">
        <v>280</v>
      </c>
      <c r="E82" s="76" t="s">
        <v>1680</v>
      </c>
      <c r="F82" s="76" t="s">
        <v>1681</v>
      </c>
      <c r="G82" s="76" t="s">
        <v>1489</v>
      </c>
      <c r="H82" s="76">
        <v>26.2306</v>
      </c>
      <c r="I82" s="76" t="s">
        <v>1682</v>
      </c>
    </row>
    <row r="83">
      <c r="A83" s="76" t="s">
        <v>1683</v>
      </c>
      <c r="B83" s="77" t="s">
        <v>387</v>
      </c>
      <c r="C83" s="77" t="s">
        <v>280</v>
      </c>
      <c r="D83" s="77" t="s">
        <v>280</v>
      </c>
      <c r="E83" s="76" t="s">
        <v>1684</v>
      </c>
      <c r="F83" s="76" t="s">
        <v>1685</v>
      </c>
      <c r="G83" s="76" t="s">
        <v>1489</v>
      </c>
      <c r="H83" s="76">
        <v>32.9945</v>
      </c>
      <c r="I83" s="76" t="s">
        <v>1686</v>
      </c>
    </row>
    <row r="84">
      <c r="A84" s="76" t="s">
        <v>1687</v>
      </c>
      <c r="B84" s="77" t="s">
        <v>387</v>
      </c>
      <c r="C84" s="77" t="s">
        <v>280</v>
      </c>
      <c r="D84" s="77" t="s">
        <v>280</v>
      </c>
      <c r="E84" s="76" t="s">
        <v>1688</v>
      </c>
      <c r="F84" s="76" t="s">
        <v>1689</v>
      </c>
      <c r="G84" s="76" t="s">
        <v>1489</v>
      </c>
      <c r="H84" s="76">
        <v>34.7741</v>
      </c>
      <c r="I84" s="76" t="s">
        <v>1690</v>
      </c>
    </row>
    <row r="85">
      <c r="A85" s="76" t="s">
        <v>1691</v>
      </c>
      <c r="B85" s="77" t="s">
        <v>1692</v>
      </c>
      <c r="C85" s="77" t="s">
        <v>280</v>
      </c>
      <c r="D85" s="77" t="s">
        <v>280</v>
      </c>
      <c r="E85" s="76" t="s">
        <v>1693</v>
      </c>
      <c r="F85" s="76" t="s">
        <v>495</v>
      </c>
      <c r="G85" s="76" t="s">
        <v>1489</v>
      </c>
      <c r="H85" s="76">
        <v>29.3985</v>
      </c>
      <c r="I85" s="76" t="s">
        <v>1694</v>
      </c>
    </row>
    <row r="86">
      <c r="A86" s="76" t="s">
        <v>1695</v>
      </c>
      <c r="B86" s="77" t="s">
        <v>1692</v>
      </c>
      <c r="C86" s="77" t="s">
        <v>280</v>
      </c>
      <c r="D86" s="77" t="s">
        <v>280</v>
      </c>
      <c r="E86" s="76" t="s">
        <v>1696</v>
      </c>
      <c r="F86" s="76" t="s">
        <v>1697</v>
      </c>
      <c r="G86" s="76" t="s">
        <v>1489</v>
      </c>
      <c r="H86" s="76">
        <v>30.8124</v>
      </c>
      <c r="I86" s="76" t="s">
        <v>1698</v>
      </c>
    </row>
    <row r="87">
      <c r="A87" s="76" t="s">
        <v>1699</v>
      </c>
      <c r="B87" s="77" t="s">
        <v>442</v>
      </c>
      <c r="C87" s="77" t="s">
        <v>280</v>
      </c>
      <c r="D87" s="77" t="s">
        <v>280</v>
      </c>
      <c r="E87" s="76" t="s">
        <v>1684</v>
      </c>
      <c r="F87" s="76" t="s">
        <v>1700</v>
      </c>
      <c r="G87" s="76" t="s">
        <v>1489</v>
      </c>
      <c r="H87" s="76">
        <v>27.4482</v>
      </c>
      <c r="I87" s="76" t="s">
        <v>1701</v>
      </c>
    </row>
    <row r="88">
      <c r="A88" s="76" t="s">
        <v>1702</v>
      </c>
      <c r="B88" s="77" t="s">
        <v>442</v>
      </c>
      <c r="C88" s="77" t="s">
        <v>280</v>
      </c>
      <c r="D88" s="77" t="s">
        <v>280</v>
      </c>
      <c r="E88" s="76" t="s">
        <v>1703</v>
      </c>
      <c r="F88" s="76" t="s">
        <v>1704</v>
      </c>
      <c r="G88" s="76" t="s">
        <v>1489</v>
      </c>
      <c r="H88" s="76">
        <v>29.3865</v>
      </c>
      <c r="I88" s="76" t="s">
        <v>1705</v>
      </c>
    </row>
    <row r="89">
      <c r="A89" s="76" t="s">
        <v>1706</v>
      </c>
      <c r="B89" s="77" t="s">
        <v>418</v>
      </c>
      <c r="C89" s="77" t="s">
        <v>280</v>
      </c>
      <c r="D89" s="77" t="s">
        <v>280</v>
      </c>
      <c r="E89" s="76" t="s">
        <v>1533</v>
      </c>
      <c r="F89" s="76" t="s">
        <v>1707</v>
      </c>
      <c r="G89" s="76" t="s">
        <v>1489</v>
      </c>
      <c r="H89" s="76">
        <v>37.5647</v>
      </c>
      <c r="I89" s="76" t="s">
        <v>1708</v>
      </c>
    </row>
    <row r="90">
      <c r="A90" s="81" t="s">
        <v>1709</v>
      </c>
      <c r="B90" s="82" t="s">
        <v>418</v>
      </c>
      <c r="C90" s="82" t="s">
        <v>280</v>
      </c>
      <c r="D90" s="82" t="s">
        <v>280</v>
      </c>
      <c r="E90" s="81" t="s">
        <v>1594</v>
      </c>
      <c r="F90" s="81" t="s">
        <v>1710</v>
      </c>
      <c r="G90" s="81" t="s">
        <v>1489</v>
      </c>
      <c r="H90" s="81">
        <v>35.9117</v>
      </c>
      <c r="I90" s="81" t="s">
        <v>1711</v>
      </c>
    </row>
  </sheetData>
  <mergeCells count="1">
    <mergeCell ref="A1:C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24.78"/>
    <col customWidth="1" min="3" max="4" width="18.22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40" t="s">
        <v>1712</v>
      </c>
    </row>
    <row r="2">
      <c r="A2" s="9" t="s">
        <v>27</v>
      </c>
      <c r="B2" s="10" t="s">
        <v>28</v>
      </c>
      <c r="C2" s="10" t="s">
        <v>29</v>
      </c>
      <c r="D2" s="10" t="s">
        <v>29</v>
      </c>
    </row>
    <row r="3">
      <c r="A3" s="9" t="s">
        <v>42</v>
      </c>
      <c r="B3" s="10" t="s">
        <v>43</v>
      </c>
      <c r="C3" s="10" t="s">
        <v>29</v>
      </c>
      <c r="D3" s="10" t="s">
        <v>29</v>
      </c>
    </row>
    <row r="4">
      <c r="A4" s="9" t="s">
        <v>53</v>
      </c>
      <c r="B4" s="10" t="s">
        <v>54</v>
      </c>
      <c r="C4" s="10" t="s">
        <v>29</v>
      </c>
      <c r="D4" s="10" t="s">
        <v>29</v>
      </c>
    </row>
    <row r="5">
      <c r="A5" s="9" t="s">
        <v>59</v>
      </c>
      <c r="B5" s="10" t="s">
        <v>60</v>
      </c>
      <c r="C5" s="10" t="s">
        <v>29</v>
      </c>
      <c r="D5" s="10" t="s">
        <v>29</v>
      </c>
    </row>
    <row r="6">
      <c r="A6" s="9" t="s">
        <v>65</v>
      </c>
      <c r="B6" s="10" t="s">
        <v>66</v>
      </c>
      <c r="C6" s="10" t="s">
        <v>29</v>
      </c>
      <c r="D6" s="10" t="s">
        <v>29</v>
      </c>
    </row>
    <row r="7">
      <c r="A7" s="9" t="s">
        <v>76</v>
      </c>
      <c r="B7" s="10" t="s">
        <v>77</v>
      </c>
      <c r="C7" s="10" t="s">
        <v>29</v>
      </c>
      <c r="D7" s="10" t="s">
        <v>29</v>
      </c>
    </row>
    <row r="8">
      <c r="A8" s="9" t="s">
        <v>82</v>
      </c>
      <c r="B8" s="10" t="s">
        <v>83</v>
      </c>
      <c r="C8" s="10" t="s">
        <v>29</v>
      </c>
      <c r="D8" s="10" t="s">
        <v>84</v>
      </c>
    </row>
    <row r="9">
      <c r="A9" s="9" t="s">
        <v>89</v>
      </c>
      <c r="B9" s="10" t="s">
        <v>90</v>
      </c>
      <c r="C9" s="10" t="s">
        <v>29</v>
      </c>
      <c r="D9" s="10" t="s">
        <v>84</v>
      </c>
    </row>
    <row r="10">
      <c r="A10" s="9" t="s">
        <v>95</v>
      </c>
      <c r="B10" s="10" t="s">
        <v>96</v>
      </c>
      <c r="C10" s="10" t="s">
        <v>29</v>
      </c>
      <c r="D10" s="10" t="s">
        <v>84</v>
      </c>
    </row>
    <row r="11">
      <c r="A11" s="9" t="s">
        <v>101</v>
      </c>
      <c r="B11" s="10" t="s">
        <v>102</v>
      </c>
      <c r="C11" s="10" t="s">
        <v>29</v>
      </c>
      <c r="D11" s="10" t="s">
        <v>84</v>
      </c>
    </row>
    <row r="12">
      <c r="A12" s="9" t="s">
        <v>107</v>
      </c>
      <c r="B12" s="10" t="s">
        <v>108</v>
      </c>
      <c r="C12" s="10" t="s">
        <v>29</v>
      </c>
      <c r="D12" s="22" t="s">
        <v>84</v>
      </c>
    </row>
    <row r="13">
      <c r="A13" s="9" t="s">
        <v>113</v>
      </c>
      <c r="B13" s="10" t="s">
        <v>114</v>
      </c>
      <c r="C13" s="10" t="s">
        <v>29</v>
      </c>
      <c r="D13" s="10" t="s">
        <v>84</v>
      </c>
    </row>
    <row r="14">
      <c r="A14" s="9" t="s">
        <v>124</v>
      </c>
      <c r="B14" s="10" t="s">
        <v>125</v>
      </c>
      <c r="C14" s="10" t="s">
        <v>29</v>
      </c>
      <c r="D14" s="10" t="s">
        <v>84</v>
      </c>
    </row>
    <row r="15">
      <c r="A15" s="9" t="s">
        <v>130</v>
      </c>
      <c r="B15" s="10" t="s">
        <v>131</v>
      </c>
      <c r="C15" s="10" t="s">
        <v>29</v>
      </c>
      <c r="D15" s="10" t="s">
        <v>84</v>
      </c>
    </row>
    <row r="16">
      <c r="A16" s="9" t="s">
        <v>136</v>
      </c>
      <c r="B16" s="10" t="s">
        <v>137</v>
      </c>
      <c r="C16" s="10" t="s">
        <v>29</v>
      </c>
      <c r="D16" s="10" t="s">
        <v>84</v>
      </c>
    </row>
    <row r="17">
      <c r="A17" s="9" t="s">
        <v>142</v>
      </c>
      <c r="B17" s="24" t="s">
        <v>143</v>
      </c>
      <c r="C17" s="24" t="s">
        <v>29</v>
      </c>
      <c r="D17" s="24" t="s">
        <v>84</v>
      </c>
    </row>
    <row r="18">
      <c r="A18" s="9" t="s">
        <v>152</v>
      </c>
      <c r="B18" s="25" t="s">
        <v>153</v>
      </c>
      <c r="C18" s="25" t="s">
        <v>29</v>
      </c>
      <c r="D18" s="25" t="s">
        <v>84</v>
      </c>
    </row>
    <row r="19">
      <c r="A19" s="9" t="s">
        <v>158</v>
      </c>
      <c r="B19" s="10" t="s">
        <v>159</v>
      </c>
      <c r="C19" s="10" t="s">
        <v>29</v>
      </c>
      <c r="D19" s="10" t="s">
        <v>160</v>
      </c>
    </row>
    <row r="20">
      <c r="A20" s="9" t="s">
        <v>165</v>
      </c>
      <c r="B20" s="10" t="s">
        <v>166</v>
      </c>
      <c r="C20" s="10" t="s">
        <v>29</v>
      </c>
      <c r="D20" s="10" t="s">
        <v>160</v>
      </c>
    </row>
    <row r="21">
      <c r="A21" s="9" t="s">
        <v>171</v>
      </c>
      <c r="B21" s="10" t="s">
        <v>172</v>
      </c>
      <c r="C21" s="10" t="s">
        <v>29</v>
      </c>
      <c r="D21" s="10" t="s">
        <v>160</v>
      </c>
    </row>
    <row r="22">
      <c r="A22" s="9" t="s">
        <v>177</v>
      </c>
      <c r="B22" s="10" t="s">
        <v>178</v>
      </c>
      <c r="C22" s="10" t="s">
        <v>29</v>
      </c>
      <c r="D22" s="10" t="s">
        <v>160</v>
      </c>
    </row>
    <row r="23">
      <c r="A23" s="9" t="s">
        <v>183</v>
      </c>
      <c r="B23" s="10" t="s">
        <v>184</v>
      </c>
      <c r="C23" s="10" t="s">
        <v>29</v>
      </c>
      <c r="D23" s="10" t="s">
        <v>160</v>
      </c>
    </row>
    <row r="24">
      <c r="A24" s="9" t="s">
        <v>189</v>
      </c>
      <c r="B24" s="24" t="s">
        <v>190</v>
      </c>
      <c r="C24" s="24" t="s">
        <v>29</v>
      </c>
      <c r="D24" s="24" t="s">
        <v>160</v>
      </c>
    </row>
    <row r="25">
      <c r="A25" s="9" t="s">
        <v>200</v>
      </c>
      <c r="B25" s="10" t="s">
        <v>201</v>
      </c>
      <c r="C25" s="10" t="s">
        <v>29</v>
      </c>
      <c r="D25" s="10" t="s">
        <v>160</v>
      </c>
    </row>
    <row r="26">
      <c r="A26" s="9" t="s">
        <v>206</v>
      </c>
      <c r="B26" s="24" t="s">
        <v>207</v>
      </c>
      <c r="C26" s="24" t="s">
        <v>29</v>
      </c>
      <c r="D26" s="24" t="s">
        <v>160</v>
      </c>
    </row>
    <row r="27">
      <c r="A27" s="9" t="s">
        <v>215</v>
      </c>
      <c r="B27" s="10" t="s">
        <v>216</v>
      </c>
      <c r="C27" s="10" t="s">
        <v>29</v>
      </c>
      <c r="D27" s="10" t="s">
        <v>160</v>
      </c>
    </row>
    <row r="28">
      <c r="A28" s="9" t="s">
        <v>221</v>
      </c>
      <c r="B28" s="10" t="s">
        <v>222</v>
      </c>
      <c r="C28" s="10" t="s">
        <v>29</v>
      </c>
      <c r="D28" s="10" t="s">
        <v>160</v>
      </c>
    </row>
    <row r="29">
      <c r="A29" s="9" t="s">
        <v>227</v>
      </c>
      <c r="B29" s="24" t="s">
        <v>228</v>
      </c>
      <c r="C29" s="24" t="s">
        <v>29</v>
      </c>
      <c r="D29" s="24" t="s">
        <v>160</v>
      </c>
    </row>
    <row r="30">
      <c r="A30" s="9" t="s">
        <v>234</v>
      </c>
      <c r="B30" s="26" t="s">
        <v>235</v>
      </c>
      <c r="C30" s="27" t="s">
        <v>29</v>
      </c>
      <c r="D30" s="27" t="s">
        <v>160</v>
      </c>
    </row>
    <row r="31">
      <c r="A31" s="9" t="s">
        <v>241</v>
      </c>
      <c r="B31" s="25" t="s">
        <v>242</v>
      </c>
      <c r="C31" s="25" t="s">
        <v>29</v>
      </c>
      <c r="D31" s="25" t="s">
        <v>160</v>
      </c>
    </row>
    <row r="32">
      <c r="A32" s="9" t="s">
        <v>247</v>
      </c>
      <c r="B32" s="25" t="s">
        <v>248</v>
      </c>
      <c r="C32" s="25" t="s">
        <v>29</v>
      </c>
      <c r="D32" s="25" t="s">
        <v>160</v>
      </c>
    </row>
    <row r="33">
      <c r="A33" s="9" t="s">
        <v>253</v>
      </c>
      <c r="B33" s="28" t="s">
        <v>254</v>
      </c>
      <c r="C33" s="29" t="s">
        <v>255</v>
      </c>
      <c r="D33" s="29" t="s">
        <v>255</v>
      </c>
    </row>
    <row r="34">
      <c r="A34" s="9" t="s">
        <v>260</v>
      </c>
      <c r="B34" s="31" t="s">
        <v>261</v>
      </c>
      <c r="C34" s="33" t="s">
        <v>255</v>
      </c>
      <c r="D34" s="33" t="s">
        <v>255</v>
      </c>
    </row>
    <row r="35">
      <c r="A35" s="9" t="s">
        <v>266</v>
      </c>
      <c r="B35" s="28" t="s">
        <v>267</v>
      </c>
      <c r="C35" s="29" t="s">
        <v>255</v>
      </c>
      <c r="D35" s="29" t="s">
        <v>255</v>
      </c>
    </row>
    <row r="36">
      <c r="A36" s="9" t="s">
        <v>272</v>
      </c>
      <c r="B36" s="31" t="s">
        <v>273</v>
      </c>
      <c r="C36" s="33" t="s">
        <v>255</v>
      </c>
      <c r="D36" s="33" t="s">
        <v>255</v>
      </c>
    </row>
    <row r="37">
      <c r="A37" s="9" t="s">
        <v>278</v>
      </c>
      <c r="B37" s="10" t="s">
        <v>279</v>
      </c>
      <c r="C37" s="10" t="s">
        <v>280</v>
      </c>
      <c r="D37" s="22" t="s">
        <v>281</v>
      </c>
    </row>
    <row r="38">
      <c r="A38" s="9" t="s">
        <v>286</v>
      </c>
      <c r="B38" s="24" t="s">
        <v>287</v>
      </c>
      <c r="C38" s="24" t="s">
        <v>280</v>
      </c>
      <c r="D38" s="24" t="s">
        <v>281</v>
      </c>
    </row>
    <row r="39">
      <c r="A39" s="9" t="s">
        <v>292</v>
      </c>
      <c r="B39" s="10" t="s">
        <v>293</v>
      </c>
      <c r="C39" s="10" t="s">
        <v>280</v>
      </c>
      <c r="D39" s="22" t="s">
        <v>281</v>
      </c>
    </row>
    <row r="40">
      <c r="A40" s="9" t="s">
        <v>298</v>
      </c>
      <c r="B40" s="10" t="s">
        <v>299</v>
      </c>
      <c r="C40" s="10" t="s">
        <v>280</v>
      </c>
      <c r="D40" s="10" t="s">
        <v>281</v>
      </c>
    </row>
    <row r="41">
      <c r="A41" s="9" t="s">
        <v>304</v>
      </c>
      <c r="B41" s="10" t="s">
        <v>305</v>
      </c>
      <c r="C41" s="10" t="s">
        <v>280</v>
      </c>
      <c r="D41" s="10" t="s">
        <v>281</v>
      </c>
    </row>
    <row r="42">
      <c r="A42" s="9" t="s">
        <v>310</v>
      </c>
      <c r="B42" s="10" t="s">
        <v>311</v>
      </c>
      <c r="C42" s="10" t="s">
        <v>280</v>
      </c>
      <c r="D42" s="10" t="s">
        <v>281</v>
      </c>
    </row>
    <row r="43">
      <c r="A43" s="9" t="s">
        <v>318</v>
      </c>
      <c r="B43" s="10" t="s">
        <v>319</v>
      </c>
      <c r="C43" s="10" t="s">
        <v>280</v>
      </c>
      <c r="D43" s="34" t="s">
        <v>281</v>
      </c>
    </row>
    <row r="44">
      <c r="A44" s="9" t="s">
        <v>324</v>
      </c>
      <c r="B44" s="10" t="s">
        <v>325</v>
      </c>
      <c r="C44" s="10" t="s">
        <v>280</v>
      </c>
      <c r="D44" s="34" t="s">
        <v>281</v>
      </c>
    </row>
    <row r="45">
      <c r="A45" s="9" t="s">
        <v>330</v>
      </c>
      <c r="B45" s="24" t="s">
        <v>331</v>
      </c>
      <c r="C45" s="24" t="s">
        <v>280</v>
      </c>
      <c r="D45" s="36" t="s">
        <v>332</v>
      </c>
      <c r="E45" s="36" t="s">
        <v>332</v>
      </c>
    </row>
    <row r="46">
      <c r="A46" s="9" t="s">
        <v>337</v>
      </c>
      <c r="B46" s="10" t="s">
        <v>338</v>
      </c>
      <c r="C46" s="10" t="s">
        <v>280</v>
      </c>
      <c r="D46" s="18" t="s">
        <v>332</v>
      </c>
      <c r="E46" s="18" t="s">
        <v>332</v>
      </c>
    </row>
    <row r="47">
      <c r="A47" s="9" t="s">
        <v>343</v>
      </c>
      <c r="B47" s="10" t="s">
        <v>344</v>
      </c>
      <c r="C47" s="10" t="s">
        <v>280</v>
      </c>
      <c r="D47" s="18" t="s">
        <v>345</v>
      </c>
    </row>
    <row r="48">
      <c r="A48" s="9" t="s">
        <v>350</v>
      </c>
      <c r="B48" s="10" t="s">
        <v>351</v>
      </c>
      <c r="C48" s="10" t="s">
        <v>280</v>
      </c>
      <c r="D48" s="10" t="s">
        <v>345</v>
      </c>
    </row>
    <row r="49">
      <c r="A49" s="9" t="s">
        <v>356</v>
      </c>
      <c r="B49" s="10" t="s">
        <v>357</v>
      </c>
      <c r="C49" s="10" t="s">
        <v>280</v>
      </c>
      <c r="D49" s="10" t="s">
        <v>345</v>
      </c>
    </row>
    <row r="50">
      <c r="A50" s="37" t="s">
        <v>362</v>
      </c>
      <c r="B50" s="10" t="s">
        <v>363</v>
      </c>
      <c r="C50" s="10" t="s">
        <v>280</v>
      </c>
      <c r="D50" s="10" t="s">
        <v>280</v>
      </c>
      <c r="E50" s="40" t="s">
        <v>1713</v>
      </c>
    </row>
    <row r="51">
      <c r="A51" s="9" t="s">
        <v>366</v>
      </c>
      <c r="B51" s="10" t="s">
        <v>367</v>
      </c>
      <c r="C51" s="10" t="s">
        <v>280</v>
      </c>
      <c r="D51" s="10" t="s">
        <v>280</v>
      </c>
      <c r="E51" s="40" t="s">
        <v>1714</v>
      </c>
    </row>
    <row r="52">
      <c r="A52" s="41" t="s">
        <v>377</v>
      </c>
      <c r="B52" s="10" t="s">
        <v>378</v>
      </c>
      <c r="C52" s="10" t="s">
        <v>280</v>
      </c>
      <c r="D52" s="10" t="s">
        <v>280</v>
      </c>
      <c r="E52" s="40" t="s">
        <v>1713</v>
      </c>
    </row>
    <row r="53">
      <c r="A53" s="9" t="s">
        <v>380</v>
      </c>
      <c r="B53" s="10" t="s">
        <v>381</v>
      </c>
      <c r="C53" s="10" t="s">
        <v>280</v>
      </c>
      <c r="D53" s="10" t="s">
        <v>280</v>
      </c>
      <c r="E53" s="40" t="s">
        <v>1714</v>
      </c>
    </row>
    <row r="54">
      <c r="A54" s="9" t="s">
        <v>386</v>
      </c>
      <c r="B54" s="10" t="s">
        <v>387</v>
      </c>
      <c r="C54" s="10" t="s">
        <v>280</v>
      </c>
      <c r="D54" s="10" t="s">
        <v>280</v>
      </c>
      <c r="E54" s="40" t="s">
        <v>1714</v>
      </c>
    </row>
    <row r="55">
      <c r="A55" s="9" t="s">
        <v>394</v>
      </c>
      <c r="B55" s="10" t="s">
        <v>395</v>
      </c>
      <c r="C55" s="10" t="s">
        <v>280</v>
      </c>
      <c r="D55" s="10" t="s">
        <v>280</v>
      </c>
      <c r="E55" s="40" t="s">
        <v>1715</v>
      </c>
    </row>
    <row r="56">
      <c r="A56" s="9" t="s">
        <v>405</v>
      </c>
      <c r="B56" s="10" t="s">
        <v>406</v>
      </c>
      <c r="C56" s="10" t="s">
        <v>280</v>
      </c>
      <c r="D56" s="10" t="s">
        <v>280</v>
      </c>
      <c r="E56" s="40" t="s">
        <v>1715</v>
      </c>
    </row>
    <row r="57">
      <c r="A57" s="9" t="s">
        <v>411</v>
      </c>
      <c r="B57" s="10" t="s">
        <v>412</v>
      </c>
      <c r="C57" s="10" t="s">
        <v>280</v>
      </c>
      <c r="D57" s="10" t="s">
        <v>280</v>
      </c>
      <c r="E57" s="40" t="s">
        <v>1714</v>
      </c>
    </row>
    <row r="58">
      <c r="A58" s="9" t="s">
        <v>417</v>
      </c>
      <c r="B58" s="10" t="s">
        <v>418</v>
      </c>
      <c r="C58" s="10" t="s">
        <v>280</v>
      </c>
      <c r="D58" s="10" t="s">
        <v>280</v>
      </c>
      <c r="E58" s="40" t="s">
        <v>1714</v>
      </c>
    </row>
    <row r="59">
      <c r="A59" s="9" t="s">
        <v>422</v>
      </c>
      <c r="B59" s="10" t="s">
        <v>423</v>
      </c>
      <c r="C59" s="10" t="s">
        <v>280</v>
      </c>
      <c r="D59" s="10" t="s">
        <v>280</v>
      </c>
      <c r="E59" s="40" t="s">
        <v>1715</v>
      </c>
    </row>
    <row r="60">
      <c r="A60" s="41" t="s">
        <v>433</v>
      </c>
      <c r="B60" s="10" t="s">
        <v>434</v>
      </c>
      <c r="C60" s="10" t="s">
        <v>280</v>
      </c>
      <c r="D60" s="10" t="s">
        <v>280</v>
      </c>
      <c r="E60" s="40" t="s">
        <v>1716</v>
      </c>
    </row>
    <row r="61">
      <c r="A61" s="41" t="s">
        <v>435</v>
      </c>
      <c r="B61" s="10" t="s">
        <v>436</v>
      </c>
      <c r="C61" s="10" t="s">
        <v>280</v>
      </c>
      <c r="D61" s="10" t="s">
        <v>280</v>
      </c>
      <c r="E61" s="40" t="s">
        <v>1716</v>
      </c>
    </row>
    <row r="62">
      <c r="A62" s="41" t="s">
        <v>437</v>
      </c>
      <c r="B62" s="42" t="s">
        <v>438</v>
      </c>
      <c r="C62" s="10" t="s">
        <v>280</v>
      </c>
      <c r="D62" s="10" t="s">
        <v>280</v>
      </c>
      <c r="E62" s="40" t="s">
        <v>1717</v>
      </c>
    </row>
    <row r="63">
      <c r="A63" s="33" t="s">
        <v>439</v>
      </c>
      <c r="B63" s="10" t="s">
        <v>440</v>
      </c>
      <c r="C63" s="10" t="s">
        <v>280</v>
      </c>
      <c r="D63" s="10" t="s">
        <v>280</v>
      </c>
      <c r="E63" s="40" t="s">
        <v>1713</v>
      </c>
    </row>
    <row r="64">
      <c r="A64" s="9" t="s">
        <v>441</v>
      </c>
      <c r="B64" s="10" t="s">
        <v>442</v>
      </c>
      <c r="C64" s="10" t="s">
        <v>280</v>
      </c>
      <c r="D64" s="10" t="s">
        <v>280</v>
      </c>
      <c r="E64" s="40" t="s">
        <v>1714</v>
      </c>
    </row>
    <row r="65">
      <c r="A65" s="41" t="s">
        <v>451</v>
      </c>
      <c r="B65" s="10" t="s">
        <v>452</v>
      </c>
      <c r="C65" s="10" t="s">
        <v>280</v>
      </c>
      <c r="D65" s="10" t="s">
        <v>280</v>
      </c>
      <c r="E65" s="40" t="s">
        <v>1713</v>
      </c>
    </row>
    <row r="66">
      <c r="A66" s="41" t="s">
        <v>453</v>
      </c>
      <c r="B66" s="10" t="s">
        <v>454</v>
      </c>
      <c r="C66" s="10" t="s">
        <v>280</v>
      </c>
      <c r="D66" s="10" t="s">
        <v>280</v>
      </c>
      <c r="E66" s="40" t="s">
        <v>1716</v>
      </c>
    </row>
    <row r="67">
      <c r="A67" s="9" t="s">
        <v>455</v>
      </c>
      <c r="B67" s="25" t="s">
        <v>456</v>
      </c>
      <c r="C67" s="10" t="s">
        <v>280</v>
      </c>
      <c r="D67" s="25" t="s">
        <v>280</v>
      </c>
      <c r="E67" s="40" t="s">
        <v>1714</v>
      </c>
    </row>
    <row r="68">
      <c r="A68" s="41" t="s">
        <v>465</v>
      </c>
      <c r="B68" s="9" t="s">
        <v>466</v>
      </c>
      <c r="C68" s="10" t="s">
        <v>280</v>
      </c>
      <c r="D68" s="10" t="s">
        <v>280</v>
      </c>
      <c r="E68" s="40" t="s">
        <v>1716</v>
      </c>
    </row>
    <row r="69">
      <c r="A69" s="9" t="s">
        <v>467</v>
      </c>
      <c r="B69" s="10" t="s">
        <v>468</v>
      </c>
      <c r="C69" s="10" t="s">
        <v>280</v>
      </c>
      <c r="D69" s="10" t="s">
        <v>280</v>
      </c>
      <c r="E69" s="40" t="s">
        <v>1714</v>
      </c>
    </row>
    <row r="70">
      <c r="A70" s="9" t="s">
        <v>473</v>
      </c>
      <c r="B70" s="10" t="s">
        <v>474</v>
      </c>
      <c r="C70" s="10" t="s">
        <v>280</v>
      </c>
      <c r="D70" s="10" t="s">
        <v>280</v>
      </c>
      <c r="E70" s="40" t="s">
        <v>1714</v>
      </c>
    </row>
    <row r="71">
      <c r="A71" s="9" t="s">
        <v>479</v>
      </c>
      <c r="B71" s="10" t="s">
        <v>480</v>
      </c>
      <c r="C71" s="10" t="s">
        <v>280</v>
      </c>
      <c r="D71" s="10" t="s">
        <v>280</v>
      </c>
      <c r="E71" s="40" t="s">
        <v>1718</v>
      </c>
    </row>
    <row r="72">
      <c r="A72" s="9" t="s">
        <v>485</v>
      </c>
      <c r="B72" s="10" t="s">
        <v>486</v>
      </c>
      <c r="C72" s="10" t="s">
        <v>280</v>
      </c>
      <c r="D72" s="10" t="s">
        <v>280</v>
      </c>
      <c r="E72" s="40" t="s">
        <v>1714</v>
      </c>
    </row>
    <row r="73">
      <c r="A73" s="41" t="s">
        <v>491</v>
      </c>
      <c r="B73" s="9" t="s">
        <v>492</v>
      </c>
      <c r="C73" s="10" t="s">
        <v>280</v>
      </c>
      <c r="D73" s="10" t="s">
        <v>280</v>
      </c>
      <c r="E73" s="40" t="s">
        <v>1717</v>
      </c>
    </row>
    <row r="74">
      <c r="A74" s="41" t="s">
        <v>493</v>
      </c>
      <c r="B74" s="10" t="s">
        <v>494</v>
      </c>
      <c r="C74" s="10" t="s">
        <v>280</v>
      </c>
      <c r="D74" s="10" t="s">
        <v>280</v>
      </c>
      <c r="E74" s="40" t="s">
        <v>1717</v>
      </c>
    </row>
    <row r="75">
      <c r="A75" s="9" t="s">
        <v>495</v>
      </c>
      <c r="B75" s="10" t="s">
        <v>496</v>
      </c>
      <c r="C75" s="10" t="s">
        <v>280</v>
      </c>
      <c r="D75" s="25" t="s">
        <v>280</v>
      </c>
      <c r="E75" s="40" t="s">
        <v>1714</v>
      </c>
    </row>
    <row r="76">
      <c r="A76" s="9" t="s">
        <v>501</v>
      </c>
      <c r="B76" s="10" t="s">
        <v>502</v>
      </c>
      <c r="C76" s="10" t="s">
        <v>280</v>
      </c>
      <c r="D76" s="45" t="s">
        <v>503</v>
      </c>
      <c r="E76" s="45"/>
    </row>
    <row r="77">
      <c r="A77" s="9" t="s">
        <v>508</v>
      </c>
      <c r="B77" s="10" t="s">
        <v>509</v>
      </c>
      <c r="C77" s="10" t="s">
        <v>280</v>
      </c>
      <c r="D77" s="45" t="s">
        <v>503</v>
      </c>
      <c r="E77" s="45"/>
    </row>
    <row r="78">
      <c r="A78" s="46"/>
      <c r="C78" s="10"/>
      <c r="D78" s="10"/>
    </row>
    <row r="79">
      <c r="A79" s="46"/>
      <c r="C79" s="10"/>
      <c r="D79" s="10"/>
    </row>
    <row r="80">
      <c r="A80" s="46"/>
      <c r="C80" s="10"/>
      <c r="D80" s="10"/>
    </row>
    <row r="81">
      <c r="A81" s="46"/>
      <c r="C81" s="10"/>
      <c r="D81" s="10"/>
    </row>
    <row r="82">
      <c r="C82" s="10"/>
      <c r="D82" s="10"/>
    </row>
    <row r="83">
      <c r="C83" s="10"/>
      <c r="D83" s="10"/>
    </row>
    <row r="84">
      <c r="C84" s="10"/>
      <c r="D84" s="10"/>
    </row>
    <row r="85">
      <c r="C85" s="10"/>
      <c r="D85" s="10"/>
    </row>
    <row r="86">
      <c r="C86" s="10"/>
      <c r="D86" s="10"/>
    </row>
    <row r="87">
      <c r="C87" s="10"/>
      <c r="D87" s="10"/>
    </row>
    <row r="88">
      <c r="C88" s="10"/>
      <c r="D88" s="10"/>
    </row>
    <row r="89">
      <c r="C89" s="10"/>
      <c r="D89" s="10"/>
    </row>
    <row r="90">
      <c r="C90" s="10"/>
      <c r="D90" s="10"/>
    </row>
    <row r="91">
      <c r="C91" s="10"/>
      <c r="D91" s="10"/>
    </row>
    <row r="92">
      <c r="A92" s="46"/>
      <c r="B92" s="10"/>
      <c r="C92" s="10"/>
      <c r="D92" s="10"/>
    </row>
    <row r="93">
      <c r="A93" s="46"/>
      <c r="B93" s="10"/>
      <c r="C93" s="10"/>
      <c r="D93" s="10"/>
    </row>
    <row r="94">
      <c r="A94" s="46"/>
      <c r="B94" s="10"/>
      <c r="C94" s="10"/>
      <c r="D94" s="10"/>
    </row>
    <row r="95">
      <c r="A95" s="46"/>
      <c r="B95" s="10"/>
      <c r="C95" s="10"/>
      <c r="D95" s="10"/>
    </row>
    <row r="96">
      <c r="A96" s="46"/>
      <c r="B96" s="10"/>
      <c r="C96" s="10"/>
      <c r="D96" s="10"/>
    </row>
    <row r="97">
      <c r="A97" s="46"/>
      <c r="B97" s="10"/>
      <c r="C97" s="10"/>
      <c r="D97" s="10"/>
    </row>
    <row r="98">
      <c r="A98" s="46"/>
      <c r="B98" s="10"/>
      <c r="C98" s="10"/>
      <c r="D98" s="10"/>
    </row>
    <row r="99">
      <c r="A99" s="46"/>
      <c r="B99" s="10"/>
      <c r="C99" s="10"/>
      <c r="D99" s="10"/>
    </row>
    <row r="100">
      <c r="A100" s="46"/>
      <c r="B100" s="10"/>
      <c r="C100" s="10"/>
      <c r="D100" s="10"/>
    </row>
    <row r="101">
      <c r="A101" s="46"/>
      <c r="B101" s="10"/>
      <c r="C101" s="10"/>
      <c r="D101" s="10"/>
    </row>
    <row r="102">
      <c r="A102" s="46"/>
      <c r="B102" s="10"/>
      <c r="C102" s="10"/>
      <c r="D102" s="10"/>
    </row>
    <row r="103">
      <c r="A103" s="46"/>
      <c r="B103" s="10"/>
      <c r="C103" s="10"/>
      <c r="D103" s="10"/>
    </row>
    <row r="104">
      <c r="A104" s="46"/>
      <c r="B104" s="10"/>
      <c r="C104" s="10"/>
      <c r="D104" s="10"/>
    </row>
    <row r="105">
      <c r="A105" s="46"/>
      <c r="B105" s="10"/>
      <c r="C105" s="10"/>
      <c r="D105" s="10"/>
    </row>
    <row r="106">
      <c r="A106" s="46"/>
      <c r="B106" s="10"/>
      <c r="C106" s="10"/>
      <c r="D106" s="10"/>
    </row>
    <row r="107">
      <c r="A107" s="46"/>
      <c r="B107" s="10"/>
      <c r="C107" s="10"/>
      <c r="D107" s="10"/>
    </row>
    <row r="108">
      <c r="A108" s="46"/>
      <c r="B108" s="10"/>
      <c r="C108" s="10"/>
      <c r="D108" s="10"/>
    </row>
    <row r="109">
      <c r="A109" s="46"/>
      <c r="B109" s="10"/>
      <c r="C109" s="10"/>
      <c r="D109" s="10"/>
    </row>
    <row r="110">
      <c r="A110" s="46"/>
      <c r="B110" s="10"/>
      <c r="C110" s="10"/>
      <c r="D110" s="10"/>
    </row>
    <row r="111">
      <c r="A111" s="46"/>
      <c r="B111" s="10"/>
      <c r="C111" s="10"/>
      <c r="D111" s="10"/>
    </row>
    <row r="112">
      <c r="A112" s="46"/>
      <c r="B112" s="10"/>
      <c r="C112" s="10"/>
      <c r="D112" s="10"/>
    </row>
    <row r="113">
      <c r="A113" s="46"/>
      <c r="B113" s="10"/>
      <c r="C113" s="10"/>
      <c r="D113" s="10"/>
    </row>
    <row r="114">
      <c r="A114" s="46"/>
      <c r="B114" s="10"/>
      <c r="C114" s="10"/>
      <c r="D114" s="10"/>
    </row>
    <row r="115">
      <c r="A115" s="46"/>
      <c r="B115" s="10"/>
      <c r="C115" s="10"/>
      <c r="D115" s="10"/>
    </row>
    <row r="116">
      <c r="A116" s="46"/>
      <c r="B116" s="10"/>
      <c r="C116" s="10"/>
      <c r="D116" s="10"/>
    </row>
    <row r="117">
      <c r="A117" s="46"/>
      <c r="B117" s="10"/>
      <c r="C117" s="10"/>
      <c r="D117" s="10"/>
    </row>
    <row r="118">
      <c r="A118" s="46"/>
      <c r="B118" s="10"/>
      <c r="C118" s="10"/>
      <c r="D118" s="10"/>
    </row>
    <row r="119">
      <c r="A119" s="46"/>
      <c r="B119" s="10"/>
      <c r="C119" s="10"/>
      <c r="D119" s="10"/>
    </row>
    <row r="120">
      <c r="A120" s="46"/>
      <c r="B120" s="10"/>
      <c r="C120" s="10"/>
      <c r="D120" s="10"/>
    </row>
    <row r="121">
      <c r="A121" s="46"/>
      <c r="B121" s="10"/>
      <c r="C121" s="10"/>
      <c r="D121" s="10"/>
    </row>
    <row r="122">
      <c r="A122" s="46"/>
      <c r="B122" s="10"/>
      <c r="C122" s="10"/>
      <c r="D122" s="10"/>
    </row>
    <row r="123">
      <c r="A123" s="46"/>
      <c r="B123" s="10"/>
      <c r="C123" s="10"/>
      <c r="D123" s="10"/>
    </row>
    <row r="124">
      <c r="A124" s="46"/>
      <c r="B124" s="10"/>
      <c r="C124" s="10"/>
      <c r="D124" s="10"/>
    </row>
    <row r="125">
      <c r="A125" s="46"/>
      <c r="B125" s="10"/>
      <c r="C125" s="10"/>
      <c r="D125" s="10"/>
    </row>
    <row r="126">
      <c r="A126" s="46"/>
      <c r="B126" s="10"/>
      <c r="C126" s="10"/>
      <c r="D126" s="10"/>
    </row>
    <row r="127">
      <c r="A127" s="46"/>
      <c r="B127" s="10"/>
      <c r="C127" s="10"/>
      <c r="D127" s="10"/>
    </row>
    <row r="128">
      <c r="A128" s="46"/>
      <c r="B128" s="10"/>
      <c r="C128" s="10"/>
      <c r="D128" s="10"/>
    </row>
    <row r="129">
      <c r="A129" s="46"/>
      <c r="B129" s="10"/>
      <c r="C129" s="10"/>
      <c r="D129" s="10"/>
    </row>
    <row r="130">
      <c r="A130" s="46"/>
      <c r="B130" s="10"/>
      <c r="C130" s="10"/>
      <c r="D130" s="10"/>
    </row>
    <row r="131">
      <c r="A131" s="46"/>
      <c r="B131" s="10"/>
      <c r="C131" s="10"/>
      <c r="D131" s="10"/>
    </row>
    <row r="132">
      <c r="A132" s="46"/>
      <c r="B132" s="10"/>
      <c r="C132" s="10"/>
      <c r="D132" s="10"/>
    </row>
    <row r="133">
      <c r="A133" s="46"/>
      <c r="B133" s="10"/>
      <c r="C133" s="10"/>
      <c r="D133" s="10"/>
    </row>
    <row r="134">
      <c r="A134" s="46"/>
      <c r="B134" s="10"/>
      <c r="C134" s="10"/>
      <c r="D134" s="10"/>
    </row>
    <row r="135">
      <c r="A135" s="46"/>
      <c r="B135" s="10"/>
      <c r="C135" s="10"/>
      <c r="D135" s="10"/>
    </row>
    <row r="136">
      <c r="A136" s="46"/>
      <c r="B136" s="10"/>
      <c r="C136" s="10"/>
      <c r="D136" s="10"/>
    </row>
    <row r="137">
      <c r="A137" s="46"/>
      <c r="B137" s="10"/>
      <c r="C137" s="10"/>
      <c r="D137" s="10"/>
    </row>
    <row r="138">
      <c r="A138" s="46"/>
      <c r="B138" s="10"/>
      <c r="C138" s="10"/>
      <c r="D138" s="10"/>
    </row>
    <row r="139">
      <c r="A139" s="46"/>
      <c r="B139" s="10"/>
      <c r="C139" s="10"/>
      <c r="D139" s="10"/>
    </row>
    <row r="140">
      <c r="A140" s="46"/>
      <c r="B140" s="10"/>
      <c r="C140" s="10"/>
      <c r="D140" s="10"/>
    </row>
    <row r="141">
      <c r="A141" s="46"/>
      <c r="B141" s="10"/>
      <c r="C141" s="10"/>
      <c r="D141" s="10"/>
    </row>
    <row r="142">
      <c r="A142" s="46"/>
      <c r="B142" s="10"/>
      <c r="C142" s="10"/>
      <c r="D142" s="10"/>
    </row>
    <row r="143">
      <c r="A143" s="46"/>
      <c r="B143" s="10"/>
      <c r="C143" s="10"/>
      <c r="D143" s="10"/>
    </row>
    <row r="144">
      <c r="A144" s="46"/>
      <c r="B144" s="10"/>
      <c r="C144" s="10"/>
      <c r="D144" s="10"/>
    </row>
    <row r="145">
      <c r="A145" s="46"/>
      <c r="B145" s="10"/>
      <c r="C145" s="10"/>
      <c r="D145" s="10"/>
    </row>
    <row r="146">
      <c r="A146" s="46"/>
      <c r="B146" s="10"/>
      <c r="C146" s="10"/>
      <c r="D146" s="10"/>
    </row>
    <row r="147">
      <c r="A147" s="46"/>
      <c r="B147" s="10"/>
      <c r="C147" s="10"/>
      <c r="D147" s="10"/>
    </row>
    <row r="148">
      <c r="A148" s="46"/>
      <c r="B148" s="10"/>
      <c r="C148" s="10"/>
      <c r="D148" s="10"/>
    </row>
    <row r="149">
      <c r="A149" s="46"/>
      <c r="B149" s="10"/>
      <c r="C149" s="10"/>
      <c r="D149" s="10"/>
    </row>
    <row r="150">
      <c r="A150" s="46"/>
      <c r="B150" s="10"/>
      <c r="C150" s="10"/>
      <c r="D150" s="10"/>
    </row>
    <row r="151">
      <c r="A151" s="46"/>
      <c r="B151" s="10"/>
      <c r="C151" s="10"/>
      <c r="D151" s="10"/>
    </row>
    <row r="152">
      <c r="A152" s="46"/>
      <c r="B152" s="10"/>
      <c r="C152" s="10"/>
      <c r="D152" s="10"/>
    </row>
    <row r="153">
      <c r="A153" s="46"/>
      <c r="B153" s="10"/>
      <c r="C153" s="10"/>
      <c r="D153" s="10"/>
    </row>
    <row r="154">
      <c r="A154" s="46"/>
      <c r="B154" s="10"/>
      <c r="C154" s="10"/>
      <c r="D154" s="10"/>
    </row>
    <row r="155">
      <c r="A155" s="46"/>
      <c r="B155" s="10"/>
      <c r="C155" s="10"/>
      <c r="D155" s="10"/>
    </row>
    <row r="156">
      <c r="A156" s="46"/>
      <c r="B156" s="10"/>
      <c r="C156" s="10"/>
      <c r="D156" s="10"/>
    </row>
    <row r="157">
      <c r="A157" s="46"/>
      <c r="B157" s="10"/>
      <c r="C157" s="10"/>
      <c r="D157" s="10"/>
    </row>
    <row r="158">
      <c r="A158" s="46"/>
      <c r="B158" s="10"/>
      <c r="C158" s="10"/>
      <c r="D158" s="10"/>
    </row>
    <row r="159">
      <c r="A159" s="46"/>
      <c r="B159" s="10"/>
      <c r="C159" s="10"/>
      <c r="D159" s="10"/>
    </row>
    <row r="160">
      <c r="A160" s="46"/>
      <c r="B160" s="10"/>
      <c r="C160" s="10"/>
      <c r="D160" s="10"/>
    </row>
    <row r="161">
      <c r="A161" s="46"/>
      <c r="B161" s="10"/>
      <c r="C161" s="10"/>
      <c r="D161" s="10"/>
    </row>
    <row r="162">
      <c r="A162" s="46"/>
      <c r="B162" s="10"/>
      <c r="C162" s="10"/>
      <c r="D162" s="10"/>
    </row>
    <row r="163">
      <c r="A163" s="46"/>
      <c r="B163" s="10"/>
      <c r="C163" s="10"/>
      <c r="D163" s="10"/>
    </row>
    <row r="164">
      <c r="A164" s="46"/>
      <c r="B164" s="10"/>
      <c r="C164" s="10"/>
      <c r="D164" s="10"/>
    </row>
    <row r="165">
      <c r="A165" s="46"/>
      <c r="B165" s="10"/>
      <c r="C165" s="10"/>
      <c r="D165" s="10"/>
    </row>
    <row r="166">
      <c r="A166" s="46"/>
      <c r="B166" s="10"/>
      <c r="C166" s="10"/>
      <c r="D166" s="10"/>
    </row>
    <row r="167">
      <c r="A167" s="46"/>
      <c r="B167" s="10"/>
      <c r="C167" s="10"/>
      <c r="D167" s="10"/>
    </row>
    <row r="168">
      <c r="A168" s="46"/>
      <c r="B168" s="10"/>
      <c r="C168" s="10"/>
      <c r="D168" s="10"/>
    </row>
    <row r="169">
      <c r="A169" s="46"/>
      <c r="B169" s="10"/>
      <c r="C169" s="10"/>
      <c r="D169" s="10"/>
    </row>
    <row r="170">
      <c r="A170" s="46"/>
      <c r="B170" s="10"/>
      <c r="C170" s="10"/>
      <c r="D170" s="10"/>
    </row>
    <row r="171">
      <c r="A171" s="46"/>
      <c r="B171" s="10"/>
      <c r="C171" s="10"/>
      <c r="D171" s="10"/>
    </row>
    <row r="172">
      <c r="A172" s="46"/>
      <c r="B172" s="10"/>
      <c r="C172" s="10"/>
      <c r="D172" s="10"/>
    </row>
    <row r="173">
      <c r="A173" s="46"/>
      <c r="B173" s="10"/>
      <c r="C173" s="10"/>
      <c r="D173" s="10"/>
    </row>
    <row r="174">
      <c r="A174" s="46"/>
      <c r="B174" s="10"/>
      <c r="C174" s="10"/>
      <c r="D174" s="10"/>
    </row>
    <row r="175">
      <c r="A175" s="46"/>
      <c r="B175" s="10"/>
      <c r="C175" s="10"/>
      <c r="D175" s="10"/>
    </row>
    <row r="176">
      <c r="A176" s="46"/>
      <c r="B176" s="10"/>
      <c r="C176" s="10"/>
      <c r="D176" s="10"/>
    </row>
    <row r="177">
      <c r="A177" s="46"/>
      <c r="B177" s="10"/>
      <c r="C177" s="10"/>
      <c r="D177" s="10"/>
    </row>
    <row r="178">
      <c r="A178" s="46"/>
      <c r="B178" s="10"/>
      <c r="C178" s="10"/>
      <c r="D178" s="10"/>
    </row>
    <row r="179">
      <c r="A179" s="46"/>
      <c r="B179" s="10"/>
      <c r="C179" s="10"/>
      <c r="D179" s="10"/>
    </row>
    <row r="180">
      <c r="A180" s="46"/>
      <c r="B180" s="10"/>
      <c r="C180" s="10"/>
      <c r="D180" s="10"/>
    </row>
    <row r="181">
      <c r="A181" s="46"/>
      <c r="B181" s="10"/>
      <c r="C181" s="10"/>
      <c r="D181" s="10"/>
    </row>
    <row r="182">
      <c r="A182" s="46"/>
      <c r="B182" s="10"/>
      <c r="C182" s="10"/>
      <c r="D182" s="10"/>
    </row>
    <row r="183">
      <c r="A183" s="46"/>
      <c r="B183" s="10"/>
      <c r="C183" s="10"/>
      <c r="D183" s="10"/>
    </row>
    <row r="184">
      <c r="A184" s="46"/>
      <c r="B184" s="10"/>
      <c r="C184" s="10"/>
      <c r="D184" s="10"/>
    </row>
    <row r="185">
      <c r="A185" s="46"/>
      <c r="B185" s="10"/>
      <c r="C185" s="10"/>
      <c r="D185" s="10"/>
    </row>
    <row r="186">
      <c r="A186" s="46"/>
      <c r="B186" s="10"/>
      <c r="C186" s="10"/>
      <c r="D186" s="10"/>
    </row>
    <row r="187">
      <c r="A187" s="46"/>
      <c r="B187" s="10"/>
      <c r="C187" s="10"/>
      <c r="D187" s="10"/>
    </row>
    <row r="188">
      <c r="A188" s="46"/>
      <c r="B188" s="10"/>
      <c r="C188" s="10"/>
      <c r="D188" s="10"/>
    </row>
    <row r="189">
      <c r="A189" s="46"/>
      <c r="B189" s="10"/>
      <c r="C189" s="10"/>
      <c r="D189" s="10"/>
    </row>
    <row r="190">
      <c r="A190" s="46"/>
      <c r="B190" s="10"/>
      <c r="C190" s="10"/>
      <c r="D190" s="10"/>
    </row>
    <row r="191">
      <c r="A191" s="46"/>
      <c r="B191" s="10"/>
      <c r="C191" s="10"/>
      <c r="D191" s="10"/>
    </row>
    <row r="192">
      <c r="A192" s="46"/>
      <c r="B192" s="10"/>
      <c r="C192" s="10"/>
      <c r="D192" s="10"/>
    </row>
    <row r="193">
      <c r="A193" s="46"/>
      <c r="B193" s="10"/>
      <c r="C193" s="10"/>
      <c r="D193" s="10"/>
    </row>
    <row r="194">
      <c r="A194" s="46"/>
      <c r="B194" s="10"/>
      <c r="C194" s="10"/>
      <c r="D194" s="10"/>
    </row>
    <row r="195">
      <c r="A195" s="46"/>
      <c r="B195" s="10"/>
      <c r="C195" s="10"/>
      <c r="D195" s="10"/>
    </row>
    <row r="196">
      <c r="A196" s="46"/>
      <c r="B196" s="10"/>
      <c r="C196" s="10"/>
      <c r="D196" s="10"/>
    </row>
    <row r="197">
      <c r="A197" s="46"/>
      <c r="B197" s="10"/>
      <c r="C197" s="10"/>
      <c r="D197" s="10"/>
    </row>
    <row r="198">
      <c r="A198" s="46"/>
      <c r="B198" s="10"/>
      <c r="C198" s="10"/>
      <c r="D198" s="10"/>
    </row>
    <row r="199">
      <c r="A199" s="46"/>
      <c r="B199" s="10"/>
      <c r="C199" s="10"/>
      <c r="D199" s="10"/>
    </row>
    <row r="200">
      <c r="A200" s="46"/>
      <c r="B200" s="10"/>
      <c r="C200" s="10"/>
      <c r="D200" s="10"/>
    </row>
    <row r="201">
      <c r="A201" s="46"/>
      <c r="B201" s="10"/>
      <c r="C201" s="10"/>
      <c r="D201" s="10"/>
    </row>
    <row r="202">
      <c r="A202" s="46"/>
      <c r="B202" s="10"/>
      <c r="C202" s="10"/>
      <c r="D202" s="10"/>
    </row>
    <row r="203">
      <c r="A203" s="46"/>
      <c r="B203" s="10"/>
      <c r="C203" s="10"/>
      <c r="D203" s="10"/>
    </row>
    <row r="204">
      <c r="A204" s="46"/>
      <c r="B204" s="10"/>
      <c r="C204" s="10"/>
      <c r="D204" s="10"/>
    </row>
    <row r="205">
      <c r="A205" s="46"/>
      <c r="B205" s="10"/>
      <c r="C205" s="10"/>
      <c r="D205" s="10"/>
    </row>
    <row r="206">
      <c r="A206" s="46"/>
      <c r="B206" s="10"/>
      <c r="C206" s="10"/>
      <c r="D206" s="10"/>
    </row>
    <row r="207">
      <c r="A207" s="46"/>
      <c r="B207" s="10"/>
      <c r="C207" s="10"/>
      <c r="D207" s="10"/>
    </row>
    <row r="208">
      <c r="A208" s="46"/>
      <c r="B208" s="10"/>
      <c r="C208" s="10"/>
      <c r="D208" s="10"/>
    </row>
    <row r="209">
      <c r="A209" s="46"/>
      <c r="B209" s="10"/>
      <c r="C209" s="10"/>
      <c r="D209" s="10"/>
    </row>
    <row r="210">
      <c r="A210" s="46"/>
      <c r="B210" s="10"/>
      <c r="C210" s="10"/>
      <c r="D210" s="10"/>
    </row>
    <row r="211">
      <c r="A211" s="46"/>
      <c r="B211" s="10"/>
      <c r="C211" s="10"/>
      <c r="D211" s="10"/>
    </row>
    <row r="212">
      <c r="A212" s="46"/>
      <c r="B212" s="10"/>
      <c r="C212" s="10"/>
      <c r="D212" s="10"/>
    </row>
    <row r="213">
      <c r="A213" s="46"/>
      <c r="B213" s="10"/>
      <c r="C213" s="10"/>
      <c r="D213" s="10"/>
    </row>
    <row r="214">
      <c r="A214" s="46"/>
      <c r="B214" s="10"/>
      <c r="C214" s="10"/>
      <c r="D214" s="10"/>
    </row>
    <row r="215">
      <c r="A215" s="46"/>
      <c r="B215" s="10"/>
      <c r="C215" s="10"/>
      <c r="D215" s="10"/>
    </row>
    <row r="216">
      <c r="A216" s="46"/>
      <c r="B216" s="10"/>
      <c r="C216" s="10"/>
      <c r="D216" s="10"/>
    </row>
    <row r="217">
      <c r="A217" s="46"/>
      <c r="B217" s="10"/>
      <c r="C217" s="10"/>
      <c r="D217" s="10"/>
    </row>
    <row r="218">
      <c r="A218" s="46"/>
      <c r="B218" s="10"/>
      <c r="C218" s="10"/>
      <c r="D218" s="10"/>
    </row>
    <row r="219">
      <c r="A219" s="46"/>
      <c r="B219" s="10"/>
      <c r="C219" s="10"/>
      <c r="D219" s="10"/>
    </row>
    <row r="220">
      <c r="A220" s="46"/>
      <c r="B220" s="10"/>
      <c r="C220" s="10"/>
      <c r="D220" s="10"/>
    </row>
    <row r="221">
      <c r="A221" s="46"/>
      <c r="B221" s="10"/>
      <c r="C221" s="10"/>
      <c r="D221" s="10"/>
    </row>
    <row r="222">
      <c r="A222" s="46"/>
      <c r="B222" s="10"/>
      <c r="C222" s="10"/>
      <c r="D222" s="10"/>
    </row>
    <row r="223">
      <c r="A223" s="46"/>
      <c r="B223" s="10"/>
      <c r="C223" s="10"/>
      <c r="D223" s="10"/>
    </row>
    <row r="224">
      <c r="A224" s="46"/>
      <c r="B224" s="10"/>
      <c r="C224" s="10"/>
      <c r="D224" s="10"/>
    </row>
    <row r="225">
      <c r="A225" s="46"/>
      <c r="B225" s="10"/>
      <c r="C225" s="10"/>
      <c r="D225" s="10"/>
    </row>
    <row r="226">
      <c r="A226" s="46"/>
      <c r="B226" s="10"/>
      <c r="C226" s="10"/>
      <c r="D226" s="10"/>
    </row>
    <row r="227">
      <c r="A227" s="46"/>
      <c r="B227" s="10"/>
      <c r="C227" s="10"/>
      <c r="D227" s="10"/>
    </row>
    <row r="228">
      <c r="A228" s="46"/>
      <c r="B228" s="10"/>
      <c r="C228" s="10"/>
      <c r="D228" s="10"/>
    </row>
    <row r="229">
      <c r="A229" s="46"/>
      <c r="B229" s="10"/>
      <c r="C229" s="10"/>
      <c r="D229" s="10"/>
    </row>
    <row r="230">
      <c r="A230" s="46"/>
      <c r="B230" s="10"/>
      <c r="C230" s="10"/>
      <c r="D230" s="10"/>
    </row>
    <row r="231">
      <c r="A231" s="46"/>
      <c r="B231" s="10"/>
      <c r="C231" s="10"/>
      <c r="D231" s="10"/>
    </row>
    <row r="232">
      <c r="A232" s="46"/>
      <c r="B232" s="10"/>
      <c r="C232" s="10"/>
      <c r="D232" s="10"/>
    </row>
    <row r="233">
      <c r="A233" s="46"/>
      <c r="B233" s="10"/>
      <c r="C233" s="10"/>
      <c r="D233" s="10"/>
    </row>
    <row r="234">
      <c r="A234" s="46"/>
      <c r="B234" s="10"/>
      <c r="C234" s="10"/>
      <c r="D234" s="10"/>
    </row>
    <row r="235">
      <c r="A235" s="46"/>
      <c r="B235" s="10"/>
      <c r="C235" s="10"/>
      <c r="D235" s="10"/>
    </row>
    <row r="236">
      <c r="A236" s="46"/>
      <c r="B236" s="10"/>
      <c r="C236" s="10"/>
      <c r="D236" s="10"/>
    </row>
    <row r="237">
      <c r="A237" s="46"/>
      <c r="B237" s="10"/>
      <c r="C237" s="10"/>
      <c r="D237" s="10"/>
    </row>
    <row r="238">
      <c r="A238" s="46"/>
      <c r="B238" s="10"/>
      <c r="C238" s="10"/>
      <c r="D238" s="10"/>
    </row>
    <row r="239">
      <c r="A239" s="46"/>
      <c r="B239" s="10"/>
      <c r="C239" s="10"/>
      <c r="D239" s="10"/>
    </row>
    <row r="240">
      <c r="A240" s="46"/>
      <c r="B240" s="10"/>
      <c r="C240" s="10"/>
      <c r="D240" s="10"/>
    </row>
    <row r="241">
      <c r="A241" s="46"/>
      <c r="B241" s="10"/>
      <c r="C241" s="10"/>
      <c r="D241" s="10"/>
    </row>
    <row r="242">
      <c r="A242" s="46"/>
      <c r="B242" s="10"/>
      <c r="C242" s="10"/>
      <c r="D242" s="10"/>
    </row>
    <row r="243">
      <c r="A243" s="46"/>
      <c r="B243" s="10"/>
      <c r="C243" s="10"/>
      <c r="D243" s="10"/>
    </row>
    <row r="244">
      <c r="A244" s="46"/>
      <c r="B244" s="10"/>
      <c r="C244" s="10"/>
      <c r="D244" s="10"/>
    </row>
    <row r="245">
      <c r="A245" s="46"/>
      <c r="B245" s="10"/>
      <c r="C245" s="10"/>
      <c r="D245" s="10"/>
    </row>
    <row r="246">
      <c r="A246" s="46"/>
      <c r="B246" s="10"/>
      <c r="C246" s="10"/>
      <c r="D246" s="10"/>
    </row>
    <row r="247">
      <c r="A247" s="46"/>
      <c r="B247" s="10"/>
      <c r="C247" s="10"/>
      <c r="D247" s="10"/>
    </row>
    <row r="248">
      <c r="A248" s="46"/>
      <c r="B248" s="10"/>
      <c r="C248" s="10"/>
      <c r="D248" s="10"/>
    </row>
    <row r="249">
      <c r="A249" s="46"/>
      <c r="B249" s="10"/>
      <c r="C249" s="10"/>
      <c r="D249" s="10"/>
    </row>
    <row r="250">
      <c r="A250" s="46"/>
      <c r="B250" s="10"/>
      <c r="C250" s="10"/>
      <c r="D250" s="10"/>
    </row>
    <row r="251">
      <c r="A251" s="46"/>
      <c r="B251" s="10"/>
      <c r="C251" s="10"/>
      <c r="D251" s="10"/>
    </row>
    <row r="252">
      <c r="A252" s="46"/>
      <c r="B252" s="10"/>
      <c r="C252" s="10"/>
      <c r="D252" s="10"/>
    </row>
    <row r="253">
      <c r="A253" s="46"/>
      <c r="B253" s="10"/>
      <c r="C253" s="10"/>
      <c r="D253" s="10"/>
    </row>
    <row r="254">
      <c r="A254" s="46"/>
      <c r="B254" s="10"/>
      <c r="C254" s="10"/>
      <c r="D254" s="10"/>
    </row>
    <row r="255">
      <c r="A255" s="46"/>
      <c r="B255" s="10"/>
      <c r="C255" s="10"/>
      <c r="D255" s="10"/>
    </row>
    <row r="256">
      <c r="A256" s="46"/>
      <c r="B256" s="10"/>
      <c r="C256" s="10"/>
      <c r="D256" s="10"/>
    </row>
    <row r="257">
      <c r="A257" s="46"/>
      <c r="B257" s="10"/>
      <c r="C257" s="10"/>
      <c r="D257" s="10"/>
    </row>
    <row r="258">
      <c r="A258" s="46"/>
      <c r="B258" s="10"/>
      <c r="C258" s="10"/>
      <c r="D258" s="10"/>
    </row>
    <row r="259">
      <c r="A259" s="46"/>
      <c r="B259" s="10"/>
      <c r="C259" s="10"/>
      <c r="D259" s="10"/>
    </row>
    <row r="260">
      <c r="A260" s="46"/>
      <c r="B260" s="10"/>
      <c r="C260" s="10"/>
      <c r="D260" s="10"/>
    </row>
    <row r="261">
      <c r="A261" s="46"/>
      <c r="B261" s="10"/>
      <c r="C261" s="10"/>
      <c r="D261" s="10"/>
    </row>
    <row r="262">
      <c r="A262" s="46"/>
      <c r="B262" s="10"/>
      <c r="C262" s="10"/>
      <c r="D262" s="10"/>
    </row>
    <row r="263">
      <c r="A263" s="46"/>
      <c r="B263" s="10"/>
      <c r="C263" s="10"/>
      <c r="D263" s="10"/>
    </row>
    <row r="264">
      <c r="A264" s="46"/>
      <c r="B264" s="10"/>
      <c r="C264" s="10"/>
      <c r="D264" s="10"/>
    </row>
    <row r="265">
      <c r="A265" s="46"/>
      <c r="B265" s="10"/>
      <c r="C265" s="10"/>
      <c r="D265" s="10"/>
    </row>
    <row r="266">
      <c r="A266" s="46"/>
      <c r="B266" s="10"/>
      <c r="C266" s="10"/>
      <c r="D266" s="10"/>
    </row>
    <row r="267">
      <c r="A267" s="46"/>
      <c r="B267" s="10"/>
      <c r="C267" s="10"/>
      <c r="D267" s="10"/>
    </row>
    <row r="268">
      <c r="A268" s="46"/>
      <c r="B268" s="10"/>
      <c r="C268" s="10"/>
      <c r="D268" s="10"/>
    </row>
    <row r="269">
      <c r="A269" s="46"/>
      <c r="B269" s="10"/>
      <c r="C269" s="10"/>
      <c r="D269" s="10"/>
    </row>
    <row r="270">
      <c r="A270" s="46"/>
      <c r="B270" s="10"/>
      <c r="C270" s="10"/>
      <c r="D270" s="10"/>
    </row>
    <row r="271">
      <c r="A271" s="46"/>
      <c r="B271" s="10"/>
      <c r="C271" s="10"/>
      <c r="D271" s="10"/>
    </row>
    <row r="272">
      <c r="A272" s="46"/>
      <c r="B272" s="10"/>
      <c r="C272" s="10"/>
      <c r="D272" s="10"/>
    </row>
    <row r="273">
      <c r="A273" s="46"/>
      <c r="B273" s="10"/>
      <c r="C273" s="10"/>
      <c r="D273" s="10"/>
    </row>
    <row r="274">
      <c r="A274" s="46"/>
      <c r="B274" s="10"/>
      <c r="C274" s="10"/>
      <c r="D274" s="10"/>
    </row>
    <row r="275">
      <c r="A275" s="46"/>
      <c r="B275" s="10"/>
      <c r="C275" s="10"/>
      <c r="D275" s="10"/>
    </row>
    <row r="276">
      <c r="A276" s="46"/>
      <c r="B276" s="10"/>
      <c r="C276" s="10"/>
      <c r="D276" s="10"/>
    </row>
    <row r="277">
      <c r="A277" s="46"/>
      <c r="B277" s="10"/>
      <c r="C277" s="10"/>
      <c r="D277" s="10"/>
    </row>
    <row r="278">
      <c r="A278" s="46"/>
      <c r="B278" s="10"/>
      <c r="C278" s="10"/>
      <c r="D278" s="10"/>
    </row>
    <row r="279">
      <c r="A279" s="46"/>
      <c r="B279" s="10"/>
      <c r="C279" s="10"/>
      <c r="D279" s="10"/>
    </row>
    <row r="280">
      <c r="A280" s="46"/>
      <c r="B280" s="10"/>
      <c r="C280" s="10"/>
      <c r="D280" s="10"/>
    </row>
    <row r="281">
      <c r="A281" s="46"/>
      <c r="B281" s="10"/>
      <c r="C281" s="10"/>
      <c r="D281" s="10"/>
    </row>
    <row r="282">
      <c r="A282" s="46"/>
      <c r="B282" s="10"/>
      <c r="C282" s="10"/>
      <c r="D282" s="10"/>
    </row>
    <row r="283">
      <c r="A283" s="46"/>
      <c r="B283" s="10"/>
      <c r="C283" s="10"/>
      <c r="D283" s="10"/>
    </row>
    <row r="284">
      <c r="A284" s="46"/>
      <c r="B284" s="10"/>
      <c r="C284" s="10"/>
      <c r="D284" s="10"/>
    </row>
    <row r="285">
      <c r="A285" s="46"/>
      <c r="B285" s="10"/>
      <c r="C285" s="10"/>
      <c r="D285" s="10"/>
    </row>
    <row r="286">
      <c r="A286" s="46"/>
      <c r="B286" s="10"/>
      <c r="C286" s="10"/>
      <c r="D286" s="10"/>
    </row>
    <row r="287">
      <c r="A287" s="46"/>
      <c r="B287" s="10"/>
      <c r="C287" s="10"/>
      <c r="D287" s="10"/>
    </row>
    <row r="288">
      <c r="A288" s="46"/>
      <c r="B288" s="10"/>
      <c r="C288" s="10"/>
      <c r="D288" s="10"/>
    </row>
    <row r="289">
      <c r="A289" s="46"/>
      <c r="B289" s="10"/>
      <c r="C289" s="10"/>
      <c r="D289" s="10"/>
    </row>
    <row r="290">
      <c r="A290" s="46"/>
      <c r="B290" s="10"/>
      <c r="C290" s="10"/>
      <c r="D290" s="10"/>
    </row>
    <row r="291">
      <c r="A291" s="46"/>
      <c r="B291" s="10"/>
      <c r="C291" s="10"/>
      <c r="D291" s="10"/>
    </row>
    <row r="292">
      <c r="A292" s="46"/>
      <c r="B292" s="10"/>
      <c r="C292" s="10"/>
      <c r="D292" s="10"/>
    </row>
    <row r="293">
      <c r="A293" s="46"/>
      <c r="B293" s="10"/>
      <c r="C293" s="10"/>
      <c r="D293" s="10"/>
    </row>
    <row r="294">
      <c r="A294" s="46"/>
      <c r="B294" s="10"/>
      <c r="C294" s="10"/>
      <c r="D294" s="10"/>
    </row>
    <row r="295">
      <c r="A295" s="46"/>
      <c r="B295" s="10"/>
      <c r="C295" s="10"/>
      <c r="D295" s="10"/>
    </row>
    <row r="296">
      <c r="A296" s="46"/>
      <c r="B296" s="10"/>
      <c r="C296" s="10"/>
      <c r="D296" s="10"/>
    </row>
    <row r="297">
      <c r="A297" s="46"/>
      <c r="B297" s="10"/>
      <c r="C297" s="10"/>
      <c r="D297" s="10"/>
    </row>
    <row r="298">
      <c r="A298" s="46"/>
      <c r="B298" s="10"/>
      <c r="C298" s="10"/>
      <c r="D298" s="10"/>
    </row>
    <row r="299">
      <c r="A299" s="46"/>
      <c r="B299" s="10"/>
      <c r="C299" s="10"/>
      <c r="D299" s="10"/>
    </row>
    <row r="300">
      <c r="A300" s="46"/>
      <c r="B300" s="10"/>
      <c r="C300" s="10"/>
      <c r="D300" s="10"/>
    </row>
    <row r="301">
      <c r="A301" s="46"/>
      <c r="B301" s="10"/>
      <c r="C301" s="10"/>
      <c r="D301" s="10"/>
    </row>
    <row r="302">
      <c r="A302" s="46"/>
      <c r="B302" s="10"/>
      <c r="C302" s="10"/>
      <c r="D302" s="10"/>
    </row>
    <row r="303">
      <c r="A303" s="46"/>
      <c r="B303" s="10"/>
      <c r="C303" s="10"/>
      <c r="D303" s="10"/>
    </row>
    <row r="304">
      <c r="A304" s="46"/>
      <c r="B304" s="10"/>
      <c r="C304" s="10"/>
      <c r="D304" s="10"/>
    </row>
    <row r="305">
      <c r="A305" s="46"/>
      <c r="B305" s="10"/>
      <c r="C305" s="10"/>
      <c r="D305" s="10"/>
    </row>
    <row r="306">
      <c r="A306" s="46"/>
      <c r="B306" s="10"/>
      <c r="C306" s="10"/>
      <c r="D306" s="10"/>
    </row>
    <row r="307">
      <c r="A307" s="46"/>
      <c r="B307" s="10"/>
      <c r="C307" s="10"/>
      <c r="D307" s="10"/>
    </row>
    <row r="308">
      <c r="A308" s="46"/>
      <c r="B308" s="10"/>
      <c r="C308" s="10"/>
      <c r="D308" s="10"/>
    </row>
    <row r="309">
      <c r="A309" s="46"/>
      <c r="B309" s="10"/>
      <c r="C309" s="10"/>
      <c r="D309" s="10"/>
    </row>
    <row r="310">
      <c r="A310" s="46"/>
      <c r="B310" s="10"/>
      <c r="C310" s="10"/>
      <c r="D310" s="10"/>
    </row>
    <row r="311">
      <c r="A311" s="46"/>
      <c r="B311" s="10"/>
      <c r="C311" s="10"/>
      <c r="D311" s="10"/>
    </row>
    <row r="312">
      <c r="A312" s="46"/>
      <c r="B312" s="10"/>
      <c r="C312" s="10"/>
      <c r="D312" s="10"/>
    </row>
    <row r="313">
      <c r="A313" s="46"/>
      <c r="B313" s="10"/>
      <c r="C313" s="10"/>
      <c r="D313" s="10"/>
    </row>
    <row r="314">
      <c r="A314" s="46"/>
      <c r="B314" s="10"/>
      <c r="C314" s="10"/>
      <c r="D314" s="10"/>
    </row>
    <row r="315">
      <c r="A315" s="46"/>
      <c r="B315" s="10"/>
      <c r="C315" s="10"/>
      <c r="D315" s="10"/>
    </row>
    <row r="316">
      <c r="A316" s="46"/>
      <c r="B316" s="10"/>
      <c r="C316" s="10"/>
      <c r="D316" s="10"/>
    </row>
    <row r="317">
      <c r="A317" s="46"/>
      <c r="B317" s="10"/>
      <c r="C317" s="10"/>
      <c r="D317" s="10"/>
    </row>
    <row r="318">
      <c r="A318" s="46"/>
      <c r="B318" s="10"/>
      <c r="C318" s="10"/>
      <c r="D318" s="10"/>
    </row>
    <row r="319">
      <c r="A319" s="46"/>
      <c r="B319" s="10"/>
      <c r="C319" s="10"/>
      <c r="D319" s="10"/>
    </row>
    <row r="320">
      <c r="A320" s="46"/>
      <c r="B320" s="10"/>
      <c r="C320" s="10"/>
      <c r="D320" s="10"/>
    </row>
    <row r="321">
      <c r="A321" s="46"/>
      <c r="B321" s="10"/>
      <c r="C321" s="10"/>
      <c r="D321" s="10"/>
    </row>
    <row r="322">
      <c r="A322" s="46"/>
      <c r="B322" s="10"/>
      <c r="C322" s="10"/>
      <c r="D322" s="10"/>
    </row>
    <row r="323">
      <c r="A323" s="46"/>
      <c r="B323" s="10"/>
      <c r="C323" s="10"/>
      <c r="D323" s="10"/>
    </row>
    <row r="324">
      <c r="A324" s="46"/>
      <c r="B324" s="10"/>
      <c r="C324" s="10"/>
      <c r="D324" s="10"/>
    </row>
    <row r="325">
      <c r="A325" s="46"/>
      <c r="B325" s="10"/>
      <c r="C325" s="10"/>
      <c r="D325" s="10"/>
    </row>
    <row r="326">
      <c r="A326" s="46"/>
      <c r="B326" s="10"/>
      <c r="C326" s="10"/>
      <c r="D326" s="10"/>
    </row>
    <row r="327">
      <c r="A327" s="46"/>
      <c r="B327" s="10"/>
      <c r="C327" s="10"/>
      <c r="D327" s="10"/>
    </row>
    <row r="328">
      <c r="A328" s="46"/>
      <c r="B328" s="10"/>
      <c r="C328" s="10"/>
      <c r="D328" s="10"/>
    </row>
    <row r="329">
      <c r="A329" s="46"/>
      <c r="B329" s="10"/>
      <c r="C329" s="10"/>
      <c r="D329" s="10"/>
    </row>
    <row r="330">
      <c r="A330" s="46"/>
      <c r="B330" s="10"/>
      <c r="C330" s="10"/>
      <c r="D330" s="10"/>
    </row>
    <row r="331">
      <c r="A331" s="46"/>
      <c r="B331" s="10"/>
      <c r="C331" s="10"/>
      <c r="D331" s="10"/>
    </row>
    <row r="332">
      <c r="A332" s="46"/>
      <c r="B332" s="10"/>
      <c r="C332" s="10"/>
      <c r="D332" s="10"/>
    </row>
    <row r="333">
      <c r="A333" s="46"/>
      <c r="B333" s="10"/>
      <c r="C333" s="10"/>
      <c r="D333" s="10"/>
    </row>
    <row r="334">
      <c r="A334" s="46"/>
      <c r="B334" s="10"/>
      <c r="C334" s="10"/>
      <c r="D334" s="10"/>
    </row>
    <row r="335">
      <c r="A335" s="46"/>
      <c r="B335" s="10"/>
      <c r="C335" s="10"/>
      <c r="D335" s="10"/>
    </row>
    <row r="336">
      <c r="A336" s="46"/>
      <c r="B336" s="10"/>
      <c r="C336" s="10"/>
      <c r="D336" s="10"/>
    </row>
    <row r="337">
      <c r="A337" s="46"/>
      <c r="B337" s="10"/>
      <c r="C337" s="10"/>
      <c r="D337" s="10"/>
    </row>
    <row r="338">
      <c r="A338" s="46"/>
      <c r="B338" s="10"/>
      <c r="C338" s="10"/>
      <c r="D338" s="10"/>
    </row>
    <row r="339">
      <c r="A339" s="46"/>
      <c r="B339" s="10"/>
      <c r="C339" s="10"/>
      <c r="D339" s="10"/>
    </row>
    <row r="340">
      <c r="A340" s="46"/>
      <c r="B340" s="10"/>
      <c r="C340" s="10"/>
      <c r="D340" s="10"/>
    </row>
    <row r="341">
      <c r="A341" s="46"/>
      <c r="B341" s="10"/>
      <c r="C341" s="10"/>
      <c r="D341" s="10"/>
    </row>
    <row r="342">
      <c r="A342" s="46"/>
      <c r="B342" s="10"/>
      <c r="C342" s="10"/>
      <c r="D342" s="10"/>
    </row>
    <row r="343">
      <c r="A343" s="46"/>
      <c r="B343" s="10"/>
      <c r="C343" s="10"/>
      <c r="D343" s="10"/>
    </row>
    <row r="344">
      <c r="A344" s="46"/>
      <c r="B344" s="10"/>
      <c r="C344" s="10"/>
      <c r="D344" s="10"/>
    </row>
    <row r="345">
      <c r="A345" s="46"/>
      <c r="B345" s="10"/>
      <c r="C345" s="10"/>
      <c r="D345" s="10"/>
    </row>
    <row r="346">
      <c r="A346" s="46"/>
      <c r="B346" s="10"/>
      <c r="C346" s="10"/>
      <c r="D346" s="10"/>
    </row>
    <row r="347">
      <c r="A347" s="46"/>
      <c r="B347" s="10"/>
      <c r="C347" s="10"/>
      <c r="D347" s="10"/>
    </row>
    <row r="348">
      <c r="A348" s="46"/>
      <c r="B348" s="10"/>
      <c r="C348" s="10"/>
      <c r="D348" s="10"/>
    </row>
    <row r="349">
      <c r="A349" s="46"/>
      <c r="B349" s="10"/>
      <c r="C349" s="10"/>
      <c r="D349" s="10"/>
    </row>
    <row r="350">
      <c r="A350" s="46"/>
      <c r="B350" s="10"/>
      <c r="C350" s="10"/>
      <c r="D350" s="10"/>
    </row>
    <row r="351">
      <c r="A351" s="46"/>
      <c r="B351" s="10"/>
      <c r="C351" s="10"/>
      <c r="D351" s="10"/>
    </row>
    <row r="352">
      <c r="A352" s="46"/>
      <c r="B352" s="10"/>
      <c r="C352" s="10"/>
      <c r="D352" s="10"/>
    </row>
    <row r="353">
      <c r="A353" s="46"/>
      <c r="B353" s="10"/>
      <c r="C353" s="10"/>
      <c r="D353" s="10"/>
    </row>
    <row r="354">
      <c r="A354" s="46"/>
      <c r="B354" s="10"/>
      <c r="C354" s="10"/>
      <c r="D354" s="10"/>
    </row>
    <row r="355">
      <c r="A355" s="46"/>
      <c r="B355" s="10"/>
      <c r="C355" s="10"/>
      <c r="D355" s="10"/>
    </row>
    <row r="356">
      <c r="A356" s="46"/>
      <c r="B356" s="10"/>
      <c r="C356" s="10"/>
      <c r="D356" s="10"/>
    </row>
    <row r="357">
      <c r="A357" s="46"/>
      <c r="B357" s="10"/>
      <c r="C357" s="10"/>
      <c r="D357" s="10"/>
    </row>
    <row r="358">
      <c r="A358" s="46"/>
      <c r="B358" s="10"/>
      <c r="C358" s="10"/>
      <c r="D358" s="10"/>
    </row>
    <row r="359">
      <c r="A359" s="46"/>
      <c r="B359" s="10"/>
      <c r="C359" s="10"/>
      <c r="D359" s="10"/>
    </row>
    <row r="360">
      <c r="A360" s="46"/>
      <c r="B360" s="10"/>
      <c r="C360" s="10"/>
      <c r="D360" s="10"/>
    </row>
    <row r="361">
      <c r="A361" s="46"/>
      <c r="B361" s="10"/>
      <c r="C361" s="10"/>
      <c r="D361" s="10"/>
    </row>
    <row r="362">
      <c r="A362" s="46"/>
      <c r="B362" s="10"/>
      <c r="C362" s="10"/>
      <c r="D362" s="10"/>
    </row>
    <row r="363">
      <c r="A363" s="46"/>
      <c r="B363" s="10"/>
      <c r="C363" s="10"/>
      <c r="D363" s="10"/>
    </row>
    <row r="364">
      <c r="A364" s="46"/>
      <c r="B364" s="10"/>
      <c r="C364" s="10"/>
      <c r="D364" s="10"/>
    </row>
    <row r="365">
      <c r="A365" s="46"/>
      <c r="B365" s="10"/>
      <c r="C365" s="10"/>
      <c r="D365" s="10"/>
    </row>
    <row r="366">
      <c r="A366" s="46"/>
      <c r="B366" s="10"/>
      <c r="C366" s="10"/>
      <c r="D366" s="10"/>
    </row>
    <row r="367">
      <c r="A367" s="46"/>
      <c r="B367" s="10"/>
      <c r="C367" s="10"/>
      <c r="D367" s="10"/>
    </row>
    <row r="368">
      <c r="A368" s="46"/>
      <c r="B368" s="10"/>
      <c r="C368" s="10"/>
      <c r="D368" s="10"/>
    </row>
    <row r="369">
      <c r="A369" s="46"/>
      <c r="B369" s="10"/>
      <c r="C369" s="10"/>
      <c r="D369" s="10"/>
    </row>
    <row r="370">
      <c r="A370" s="46"/>
      <c r="B370" s="10"/>
      <c r="C370" s="10"/>
      <c r="D370" s="10"/>
    </row>
    <row r="371">
      <c r="A371" s="46"/>
      <c r="B371" s="10"/>
      <c r="C371" s="10"/>
      <c r="D371" s="10"/>
    </row>
    <row r="372">
      <c r="A372" s="46"/>
      <c r="B372" s="10"/>
      <c r="C372" s="10"/>
      <c r="D372" s="10"/>
    </row>
    <row r="373">
      <c r="A373" s="46"/>
      <c r="B373" s="10"/>
      <c r="C373" s="10"/>
      <c r="D373" s="10"/>
    </row>
    <row r="374">
      <c r="A374" s="46"/>
      <c r="B374" s="10"/>
      <c r="C374" s="10"/>
      <c r="D374" s="10"/>
    </row>
    <row r="375">
      <c r="A375" s="46"/>
      <c r="B375" s="10"/>
      <c r="C375" s="10"/>
      <c r="D375" s="10"/>
    </row>
    <row r="376">
      <c r="A376" s="46"/>
      <c r="B376" s="10"/>
      <c r="C376" s="10"/>
      <c r="D376" s="10"/>
    </row>
    <row r="377">
      <c r="A377" s="46"/>
      <c r="B377" s="10"/>
      <c r="C377" s="10"/>
      <c r="D377" s="10"/>
    </row>
    <row r="378">
      <c r="A378" s="46"/>
      <c r="B378" s="10"/>
      <c r="C378" s="10"/>
      <c r="D378" s="10"/>
    </row>
    <row r="379">
      <c r="A379" s="46"/>
      <c r="B379" s="10"/>
      <c r="C379" s="10"/>
      <c r="D379" s="10"/>
    </row>
    <row r="380">
      <c r="A380" s="46"/>
      <c r="B380" s="10"/>
      <c r="C380" s="10"/>
      <c r="D380" s="10"/>
    </row>
    <row r="381">
      <c r="A381" s="46"/>
      <c r="B381" s="10"/>
      <c r="C381" s="10"/>
      <c r="D381" s="10"/>
    </row>
    <row r="382">
      <c r="A382" s="46"/>
      <c r="B382" s="10"/>
      <c r="C382" s="10"/>
      <c r="D382" s="10"/>
    </row>
    <row r="383">
      <c r="A383" s="46"/>
      <c r="B383" s="10"/>
      <c r="C383" s="10"/>
      <c r="D383" s="10"/>
    </row>
    <row r="384">
      <c r="A384" s="46"/>
      <c r="B384" s="10"/>
      <c r="C384" s="10"/>
      <c r="D384" s="10"/>
    </row>
    <row r="385">
      <c r="A385" s="46"/>
      <c r="B385" s="10"/>
      <c r="C385" s="10"/>
      <c r="D385" s="10"/>
    </row>
    <row r="386">
      <c r="A386" s="46"/>
      <c r="B386" s="10"/>
      <c r="C386" s="10"/>
      <c r="D386" s="10"/>
    </row>
    <row r="387">
      <c r="A387" s="46"/>
      <c r="B387" s="10"/>
      <c r="C387" s="10"/>
      <c r="D387" s="10"/>
    </row>
    <row r="388">
      <c r="A388" s="46"/>
      <c r="B388" s="10"/>
      <c r="C388" s="10"/>
      <c r="D388" s="10"/>
    </row>
    <row r="389">
      <c r="A389" s="46"/>
      <c r="B389" s="10"/>
      <c r="C389" s="10"/>
      <c r="D389" s="10"/>
    </row>
    <row r="390">
      <c r="A390" s="46"/>
      <c r="B390" s="10"/>
      <c r="C390" s="10"/>
      <c r="D390" s="10"/>
    </row>
    <row r="391">
      <c r="A391" s="46"/>
      <c r="B391" s="10"/>
      <c r="C391" s="10"/>
      <c r="D391" s="10"/>
    </row>
    <row r="392">
      <c r="A392" s="46"/>
      <c r="B392" s="10"/>
      <c r="C392" s="10"/>
      <c r="D392" s="10"/>
    </row>
    <row r="393">
      <c r="A393" s="46"/>
      <c r="B393" s="10"/>
      <c r="C393" s="10"/>
      <c r="D393" s="10"/>
    </row>
    <row r="394">
      <c r="A394" s="46"/>
      <c r="B394" s="10"/>
      <c r="C394" s="10"/>
      <c r="D394" s="10"/>
    </row>
    <row r="395">
      <c r="A395" s="46"/>
      <c r="B395" s="10"/>
      <c r="C395" s="10"/>
      <c r="D395" s="10"/>
    </row>
    <row r="396">
      <c r="A396" s="46"/>
      <c r="B396" s="10"/>
      <c r="C396" s="10"/>
      <c r="D396" s="10"/>
    </row>
    <row r="397">
      <c r="A397" s="46"/>
      <c r="B397" s="10"/>
      <c r="C397" s="10"/>
      <c r="D397" s="10"/>
    </row>
    <row r="398">
      <c r="A398" s="46"/>
      <c r="B398" s="10"/>
      <c r="C398" s="10"/>
      <c r="D398" s="10"/>
    </row>
    <row r="399">
      <c r="A399" s="46"/>
      <c r="B399" s="10"/>
      <c r="C399" s="10"/>
      <c r="D399" s="10"/>
    </row>
    <row r="400">
      <c r="A400" s="46"/>
      <c r="B400" s="10"/>
      <c r="C400" s="10"/>
      <c r="D400" s="10"/>
    </row>
    <row r="401">
      <c r="A401" s="46"/>
      <c r="B401" s="10"/>
      <c r="C401" s="10"/>
      <c r="D401" s="10"/>
    </row>
    <row r="402">
      <c r="A402" s="46"/>
      <c r="B402" s="10"/>
      <c r="C402" s="10"/>
      <c r="D402" s="10"/>
    </row>
    <row r="403">
      <c r="A403" s="46"/>
      <c r="B403" s="10"/>
      <c r="C403" s="10"/>
      <c r="D403" s="10"/>
    </row>
    <row r="404">
      <c r="A404" s="46"/>
      <c r="B404" s="10"/>
      <c r="C404" s="10"/>
      <c r="D404" s="10"/>
    </row>
    <row r="405">
      <c r="A405" s="46"/>
      <c r="B405" s="10"/>
      <c r="C405" s="10"/>
      <c r="D405" s="10"/>
    </row>
    <row r="406">
      <c r="A406" s="46"/>
      <c r="B406" s="10"/>
      <c r="C406" s="10"/>
      <c r="D406" s="10"/>
    </row>
    <row r="407">
      <c r="A407" s="46"/>
      <c r="B407" s="10"/>
      <c r="C407" s="10"/>
      <c r="D407" s="10"/>
    </row>
    <row r="408">
      <c r="A408" s="46"/>
      <c r="B408" s="10"/>
      <c r="C408" s="10"/>
      <c r="D408" s="10"/>
    </row>
    <row r="409">
      <c r="A409" s="46"/>
      <c r="B409" s="10"/>
      <c r="C409" s="10"/>
      <c r="D409" s="10"/>
    </row>
    <row r="410">
      <c r="A410" s="46"/>
      <c r="B410" s="10"/>
      <c r="C410" s="10"/>
      <c r="D410" s="10"/>
    </row>
    <row r="411">
      <c r="A411" s="46"/>
      <c r="B411" s="10"/>
      <c r="C411" s="10"/>
      <c r="D411" s="10"/>
    </row>
    <row r="412">
      <c r="A412" s="46"/>
      <c r="B412" s="10"/>
      <c r="C412" s="10"/>
      <c r="D412" s="10"/>
    </row>
    <row r="413">
      <c r="A413" s="46"/>
      <c r="B413" s="10"/>
      <c r="C413" s="10"/>
      <c r="D413" s="10"/>
    </row>
    <row r="414">
      <c r="A414" s="46"/>
      <c r="B414" s="10"/>
      <c r="C414" s="10"/>
      <c r="D414" s="10"/>
    </row>
    <row r="415">
      <c r="A415" s="46"/>
      <c r="B415" s="10"/>
      <c r="C415" s="10"/>
      <c r="D415" s="10"/>
    </row>
    <row r="416">
      <c r="A416" s="46"/>
      <c r="B416" s="10"/>
      <c r="C416" s="10"/>
      <c r="D416" s="10"/>
    </row>
    <row r="417">
      <c r="A417" s="46"/>
      <c r="B417" s="10"/>
      <c r="C417" s="10"/>
      <c r="D417" s="10"/>
    </row>
    <row r="418">
      <c r="A418" s="46"/>
      <c r="B418" s="10"/>
      <c r="C418" s="10"/>
      <c r="D418" s="10"/>
    </row>
    <row r="419">
      <c r="A419" s="46"/>
      <c r="B419" s="10"/>
      <c r="C419" s="10"/>
      <c r="D419" s="10"/>
    </row>
    <row r="420">
      <c r="A420" s="46"/>
      <c r="B420" s="10"/>
      <c r="C420" s="10"/>
      <c r="D420" s="10"/>
    </row>
    <row r="421">
      <c r="A421" s="46"/>
      <c r="B421" s="10"/>
      <c r="C421" s="10"/>
      <c r="D421" s="10"/>
    </row>
    <row r="422">
      <c r="A422" s="46"/>
      <c r="B422" s="10"/>
      <c r="C422" s="10"/>
      <c r="D422" s="10"/>
    </row>
    <row r="423">
      <c r="A423" s="46"/>
      <c r="B423" s="10"/>
      <c r="C423" s="10"/>
      <c r="D423" s="10"/>
    </row>
    <row r="424">
      <c r="A424" s="46"/>
      <c r="B424" s="10"/>
      <c r="C424" s="10"/>
      <c r="D424" s="10"/>
    </row>
    <row r="425">
      <c r="A425" s="46"/>
      <c r="B425" s="10"/>
      <c r="C425" s="10"/>
      <c r="D425" s="10"/>
    </row>
    <row r="426">
      <c r="A426" s="46"/>
      <c r="B426" s="10"/>
      <c r="C426" s="10"/>
      <c r="D426" s="10"/>
    </row>
    <row r="427">
      <c r="A427" s="46"/>
      <c r="B427" s="10"/>
      <c r="C427" s="10"/>
      <c r="D427" s="10"/>
    </row>
    <row r="428">
      <c r="A428" s="46"/>
      <c r="B428" s="10"/>
      <c r="C428" s="10"/>
      <c r="D428" s="10"/>
    </row>
    <row r="429">
      <c r="A429" s="46"/>
      <c r="B429" s="10"/>
      <c r="C429" s="10"/>
      <c r="D429" s="10"/>
    </row>
    <row r="430">
      <c r="A430" s="46"/>
      <c r="B430" s="10"/>
      <c r="C430" s="10"/>
      <c r="D430" s="10"/>
    </row>
    <row r="431">
      <c r="A431" s="46"/>
      <c r="B431" s="10"/>
      <c r="C431" s="10"/>
      <c r="D431" s="10"/>
    </row>
    <row r="432">
      <c r="A432" s="46"/>
      <c r="B432" s="10"/>
      <c r="C432" s="10"/>
      <c r="D432" s="10"/>
    </row>
    <row r="433">
      <c r="A433" s="46"/>
      <c r="B433" s="10"/>
      <c r="C433" s="10"/>
      <c r="D433" s="10"/>
    </row>
    <row r="434">
      <c r="A434" s="46"/>
      <c r="B434" s="10"/>
      <c r="C434" s="10"/>
      <c r="D434" s="10"/>
    </row>
    <row r="435">
      <c r="A435" s="46"/>
      <c r="B435" s="10"/>
      <c r="C435" s="10"/>
      <c r="D435" s="10"/>
    </row>
    <row r="436">
      <c r="A436" s="46"/>
      <c r="B436" s="10"/>
      <c r="C436" s="10"/>
      <c r="D436" s="10"/>
    </row>
    <row r="437">
      <c r="A437" s="46"/>
      <c r="B437" s="10"/>
      <c r="C437" s="10"/>
      <c r="D437" s="10"/>
    </row>
    <row r="438">
      <c r="A438" s="46"/>
      <c r="B438" s="10"/>
      <c r="C438" s="10"/>
      <c r="D438" s="10"/>
    </row>
    <row r="439">
      <c r="A439" s="46"/>
      <c r="B439" s="10"/>
      <c r="C439" s="10"/>
      <c r="D439" s="10"/>
    </row>
    <row r="440">
      <c r="A440" s="46"/>
      <c r="B440" s="10"/>
      <c r="C440" s="10"/>
      <c r="D440" s="10"/>
    </row>
    <row r="441">
      <c r="A441" s="46"/>
      <c r="B441" s="10"/>
      <c r="C441" s="10"/>
      <c r="D441" s="10"/>
    </row>
    <row r="442">
      <c r="A442" s="46"/>
      <c r="B442" s="10"/>
      <c r="C442" s="10"/>
      <c r="D442" s="10"/>
    </row>
    <row r="443">
      <c r="A443" s="46"/>
      <c r="B443" s="10"/>
      <c r="C443" s="10"/>
      <c r="D443" s="10"/>
    </row>
    <row r="444">
      <c r="A444" s="46"/>
      <c r="B444" s="10"/>
      <c r="C444" s="10"/>
      <c r="D444" s="10"/>
    </row>
    <row r="445">
      <c r="A445" s="46"/>
      <c r="B445" s="10"/>
      <c r="C445" s="10"/>
      <c r="D445" s="10"/>
    </row>
    <row r="446">
      <c r="A446" s="46"/>
      <c r="B446" s="10"/>
      <c r="C446" s="10"/>
      <c r="D446" s="10"/>
    </row>
    <row r="447">
      <c r="A447" s="46"/>
      <c r="B447" s="10"/>
      <c r="C447" s="10"/>
      <c r="D447" s="10"/>
    </row>
    <row r="448">
      <c r="A448" s="46"/>
      <c r="B448" s="10"/>
      <c r="C448" s="10"/>
      <c r="D448" s="10"/>
    </row>
    <row r="449">
      <c r="A449" s="46"/>
      <c r="B449" s="10"/>
      <c r="C449" s="10"/>
      <c r="D449" s="10"/>
    </row>
    <row r="450">
      <c r="A450" s="46"/>
      <c r="B450" s="10"/>
      <c r="C450" s="10"/>
      <c r="D450" s="10"/>
    </row>
    <row r="451">
      <c r="A451" s="46"/>
      <c r="B451" s="10"/>
      <c r="C451" s="10"/>
      <c r="D451" s="10"/>
    </row>
    <row r="452">
      <c r="A452" s="46"/>
      <c r="B452" s="10"/>
      <c r="C452" s="10"/>
      <c r="D452" s="10"/>
    </row>
    <row r="453">
      <c r="A453" s="46"/>
      <c r="B453" s="10"/>
      <c r="C453" s="10"/>
      <c r="D453" s="10"/>
    </row>
    <row r="454">
      <c r="A454" s="46"/>
      <c r="B454" s="10"/>
      <c r="C454" s="10"/>
      <c r="D454" s="10"/>
    </row>
    <row r="455">
      <c r="A455" s="46"/>
      <c r="B455" s="10"/>
      <c r="C455" s="10"/>
      <c r="D455" s="10"/>
    </row>
    <row r="456">
      <c r="A456" s="46"/>
      <c r="B456" s="10"/>
      <c r="C456" s="10"/>
      <c r="D456" s="10"/>
    </row>
    <row r="457">
      <c r="A457" s="46"/>
      <c r="B457" s="10"/>
      <c r="C457" s="10"/>
      <c r="D457" s="10"/>
    </row>
    <row r="458">
      <c r="A458" s="46"/>
      <c r="B458" s="10"/>
      <c r="C458" s="10"/>
      <c r="D458" s="10"/>
    </row>
    <row r="459">
      <c r="A459" s="46"/>
      <c r="B459" s="10"/>
      <c r="C459" s="10"/>
      <c r="D459" s="10"/>
    </row>
    <row r="460">
      <c r="A460" s="46"/>
      <c r="B460" s="10"/>
      <c r="C460" s="10"/>
      <c r="D460" s="10"/>
    </row>
    <row r="461">
      <c r="A461" s="46"/>
      <c r="B461" s="10"/>
      <c r="C461" s="10"/>
      <c r="D461" s="10"/>
    </row>
    <row r="462">
      <c r="A462" s="46"/>
      <c r="B462" s="10"/>
      <c r="C462" s="10"/>
      <c r="D462" s="10"/>
    </row>
    <row r="463">
      <c r="A463" s="46"/>
      <c r="B463" s="10"/>
      <c r="C463" s="10"/>
      <c r="D463" s="10"/>
    </row>
    <row r="464">
      <c r="A464" s="46"/>
      <c r="B464" s="10"/>
      <c r="C464" s="10"/>
      <c r="D464" s="10"/>
    </row>
    <row r="465">
      <c r="A465" s="46"/>
      <c r="B465" s="10"/>
      <c r="C465" s="10"/>
      <c r="D465" s="10"/>
    </row>
    <row r="466">
      <c r="A466" s="46"/>
      <c r="B466" s="10"/>
      <c r="C466" s="10"/>
      <c r="D466" s="10"/>
    </row>
    <row r="467">
      <c r="A467" s="46"/>
      <c r="B467" s="10"/>
      <c r="C467" s="10"/>
      <c r="D467" s="10"/>
    </row>
    <row r="468">
      <c r="A468" s="46"/>
      <c r="B468" s="10"/>
      <c r="C468" s="10"/>
      <c r="D468" s="10"/>
    </row>
    <row r="469">
      <c r="A469" s="46"/>
      <c r="B469" s="10"/>
      <c r="C469" s="10"/>
      <c r="D469" s="10"/>
    </row>
    <row r="470">
      <c r="A470" s="46"/>
      <c r="B470" s="10"/>
      <c r="C470" s="10"/>
      <c r="D470" s="10"/>
    </row>
    <row r="471">
      <c r="A471" s="46"/>
      <c r="B471" s="10"/>
      <c r="C471" s="10"/>
      <c r="D471" s="10"/>
    </row>
    <row r="472">
      <c r="A472" s="46"/>
      <c r="B472" s="10"/>
      <c r="C472" s="10"/>
      <c r="D472" s="10"/>
    </row>
    <row r="473">
      <c r="A473" s="46"/>
      <c r="B473" s="10"/>
      <c r="C473" s="10"/>
      <c r="D473" s="10"/>
    </row>
    <row r="474">
      <c r="A474" s="46"/>
      <c r="B474" s="10"/>
      <c r="C474" s="10"/>
      <c r="D474" s="10"/>
    </row>
    <row r="475">
      <c r="A475" s="46"/>
      <c r="B475" s="10"/>
      <c r="C475" s="10"/>
      <c r="D475" s="10"/>
    </row>
    <row r="476">
      <c r="A476" s="46"/>
      <c r="B476" s="10"/>
      <c r="C476" s="10"/>
      <c r="D476" s="10"/>
    </row>
    <row r="477">
      <c r="A477" s="46"/>
      <c r="B477" s="10"/>
      <c r="C477" s="10"/>
      <c r="D477" s="10"/>
    </row>
    <row r="478">
      <c r="A478" s="46"/>
      <c r="B478" s="10"/>
      <c r="C478" s="10"/>
      <c r="D478" s="10"/>
    </row>
    <row r="479">
      <c r="A479" s="46"/>
      <c r="B479" s="10"/>
      <c r="C479" s="10"/>
      <c r="D479" s="10"/>
    </row>
    <row r="480">
      <c r="A480" s="46"/>
      <c r="B480" s="10"/>
      <c r="C480" s="10"/>
      <c r="D480" s="10"/>
    </row>
    <row r="481">
      <c r="A481" s="46"/>
      <c r="B481" s="10"/>
      <c r="C481" s="10"/>
      <c r="D481" s="10"/>
    </row>
    <row r="482">
      <c r="A482" s="46"/>
      <c r="B482" s="10"/>
      <c r="C482" s="10"/>
      <c r="D482" s="10"/>
    </row>
    <row r="483">
      <c r="A483" s="46"/>
      <c r="B483" s="10"/>
      <c r="C483" s="10"/>
      <c r="D483" s="10"/>
    </row>
    <row r="484">
      <c r="A484" s="46"/>
      <c r="B484" s="10"/>
      <c r="C484" s="10"/>
      <c r="D484" s="10"/>
    </row>
    <row r="485">
      <c r="A485" s="46"/>
      <c r="B485" s="10"/>
      <c r="C485" s="10"/>
      <c r="D485" s="10"/>
    </row>
    <row r="486">
      <c r="A486" s="46"/>
      <c r="B486" s="10"/>
      <c r="C486" s="10"/>
      <c r="D486" s="10"/>
    </row>
    <row r="487">
      <c r="A487" s="46"/>
      <c r="B487" s="10"/>
      <c r="C487" s="10"/>
      <c r="D487" s="10"/>
    </row>
    <row r="488">
      <c r="A488" s="46"/>
      <c r="B488" s="10"/>
      <c r="C488" s="10"/>
      <c r="D488" s="10"/>
    </row>
    <row r="489">
      <c r="A489" s="46"/>
      <c r="B489" s="10"/>
      <c r="C489" s="10"/>
      <c r="D489" s="10"/>
    </row>
    <row r="490">
      <c r="A490" s="46"/>
      <c r="B490" s="10"/>
      <c r="C490" s="10"/>
      <c r="D490" s="10"/>
    </row>
    <row r="491">
      <c r="A491" s="46"/>
      <c r="B491" s="10"/>
      <c r="C491" s="10"/>
      <c r="D491" s="10"/>
    </row>
    <row r="492">
      <c r="A492" s="46"/>
      <c r="B492" s="10"/>
      <c r="C492" s="10"/>
      <c r="D492" s="10"/>
    </row>
    <row r="493">
      <c r="A493" s="46"/>
      <c r="B493" s="10"/>
      <c r="C493" s="10"/>
      <c r="D493" s="10"/>
    </row>
    <row r="494">
      <c r="A494" s="46"/>
      <c r="B494" s="10"/>
      <c r="C494" s="10"/>
      <c r="D494" s="10"/>
    </row>
    <row r="495">
      <c r="A495" s="46"/>
      <c r="B495" s="10"/>
      <c r="C495" s="10"/>
      <c r="D495" s="10"/>
    </row>
    <row r="496">
      <c r="A496" s="46"/>
      <c r="B496" s="10"/>
      <c r="C496" s="10"/>
      <c r="D496" s="10"/>
    </row>
    <row r="497">
      <c r="A497" s="46"/>
      <c r="B497" s="10"/>
      <c r="C497" s="10"/>
      <c r="D497" s="10"/>
    </row>
    <row r="498">
      <c r="A498" s="46"/>
      <c r="B498" s="10"/>
      <c r="C498" s="10"/>
      <c r="D498" s="10"/>
    </row>
    <row r="499">
      <c r="A499" s="46"/>
      <c r="B499" s="10"/>
      <c r="C499" s="10"/>
      <c r="D499" s="10"/>
    </row>
    <row r="500">
      <c r="A500" s="46"/>
      <c r="B500" s="10"/>
      <c r="C500" s="10"/>
      <c r="D500" s="10"/>
    </row>
    <row r="501">
      <c r="A501" s="46"/>
      <c r="B501" s="10"/>
      <c r="C501" s="10"/>
      <c r="D501" s="10"/>
    </row>
    <row r="502">
      <c r="A502" s="46"/>
      <c r="B502" s="10"/>
      <c r="C502" s="10"/>
      <c r="D502" s="10"/>
    </row>
    <row r="503">
      <c r="A503" s="46"/>
      <c r="B503" s="10"/>
      <c r="C503" s="10"/>
      <c r="D503" s="10"/>
    </row>
    <row r="504">
      <c r="A504" s="46"/>
      <c r="B504" s="10"/>
      <c r="C504" s="10"/>
      <c r="D504" s="10"/>
    </row>
    <row r="505">
      <c r="A505" s="46"/>
      <c r="B505" s="10"/>
      <c r="C505" s="10"/>
      <c r="D505" s="10"/>
    </row>
    <row r="506">
      <c r="A506" s="46"/>
      <c r="B506" s="10"/>
      <c r="C506" s="10"/>
      <c r="D506" s="10"/>
    </row>
    <row r="507">
      <c r="A507" s="46"/>
      <c r="B507" s="10"/>
      <c r="C507" s="10"/>
      <c r="D507" s="10"/>
    </row>
    <row r="508">
      <c r="A508" s="46"/>
      <c r="B508" s="10"/>
      <c r="C508" s="10"/>
      <c r="D508" s="10"/>
    </row>
    <row r="509">
      <c r="A509" s="46"/>
      <c r="B509" s="10"/>
      <c r="C509" s="10"/>
      <c r="D509" s="10"/>
    </row>
    <row r="510">
      <c r="A510" s="46"/>
      <c r="B510" s="10"/>
      <c r="C510" s="10"/>
      <c r="D510" s="10"/>
    </row>
    <row r="511">
      <c r="A511" s="46"/>
      <c r="B511" s="10"/>
      <c r="C511" s="10"/>
      <c r="D511" s="10"/>
    </row>
    <row r="512">
      <c r="A512" s="46"/>
      <c r="B512" s="10"/>
      <c r="C512" s="10"/>
      <c r="D512" s="10"/>
    </row>
    <row r="513">
      <c r="A513" s="46"/>
      <c r="B513" s="10"/>
      <c r="C513" s="10"/>
      <c r="D513" s="10"/>
    </row>
    <row r="514">
      <c r="A514" s="46"/>
      <c r="B514" s="10"/>
      <c r="C514" s="10"/>
      <c r="D514" s="10"/>
    </row>
    <row r="515">
      <c r="A515" s="46"/>
      <c r="B515" s="10"/>
      <c r="C515" s="10"/>
      <c r="D515" s="10"/>
    </row>
    <row r="516">
      <c r="A516" s="46"/>
      <c r="B516" s="10"/>
      <c r="C516" s="10"/>
      <c r="D516" s="10"/>
    </row>
    <row r="517">
      <c r="A517" s="46"/>
      <c r="B517" s="10"/>
      <c r="C517" s="10"/>
      <c r="D517" s="10"/>
    </row>
    <row r="518">
      <c r="A518" s="46"/>
      <c r="B518" s="10"/>
      <c r="C518" s="10"/>
      <c r="D518" s="10"/>
    </row>
    <row r="519">
      <c r="A519" s="46"/>
      <c r="B519" s="10"/>
      <c r="C519" s="10"/>
      <c r="D519" s="10"/>
    </row>
    <row r="520">
      <c r="A520" s="46"/>
      <c r="B520" s="10"/>
      <c r="C520" s="10"/>
      <c r="D520" s="10"/>
    </row>
    <row r="521">
      <c r="A521" s="46"/>
      <c r="B521" s="10"/>
      <c r="C521" s="10"/>
      <c r="D521" s="10"/>
    </row>
    <row r="522">
      <c r="A522" s="46"/>
      <c r="B522" s="10"/>
      <c r="C522" s="10"/>
      <c r="D522" s="10"/>
    </row>
    <row r="523">
      <c r="A523" s="46"/>
      <c r="B523" s="10"/>
      <c r="C523" s="10"/>
      <c r="D523" s="10"/>
    </row>
    <row r="524">
      <c r="A524" s="46"/>
      <c r="B524" s="10"/>
      <c r="C524" s="10"/>
      <c r="D524" s="10"/>
    </row>
    <row r="525">
      <c r="A525" s="46"/>
      <c r="B525" s="10"/>
      <c r="C525" s="10"/>
      <c r="D525" s="10"/>
    </row>
    <row r="526">
      <c r="A526" s="46"/>
      <c r="B526" s="10"/>
      <c r="C526" s="10"/>
      <c r="D526" s="10"/>
    </row>
    <row r="527">
      <c r="A527" s="46"/>
      <c r="B527" s="10"/>
      <c r="C527" s="10"/>
      <c r="D527" s="10"/>
    </row>
    <row r="528">
      <c r="A528" s="46"/>
      <c r="B528" s="10"/>
      <c r="C528" s="10"/>
      <c r="D528" s="10"/>
    </row>
    <row r="529">
      <c r="A529" s="46"/>
      <c r="B529" s="10"/>
      <c r="C529" s="10"/>
      <c r="D529" s="10"/>
    </row>
    <row r="530">
      <c r="A530" s="46"/>
      <c r="B530" s="10"/>
      <c r="C530" s="10"/>
      <c r="D530" s="10"/>
    </row>
    <row r="531">
      <c r="A531" s="46"/>
      <c r="B531" s="10"/>
      <c r="C531" s="10"/>
      <c r="D531" s="10"/>
    </row>
    <row r="532">
      <c r="A532" s="46"/>
      <c r="B532" s="10"/>
      <c r="C532" s="10"/>
      <c r="D532" s="10"/>
    </row>
    <row r="533">
      <c r="A533" s="46"/>
      <c r="B533" s="10"/>
      <c r="C533" s="10"/>
      <c r="D533" s="10"/>
    </row>
    <row r="534">
      <c r="A534" s="46"/>
      <c r="B534" s="10"/>
      <c r="C534" s="10"/>
      <c r="D534" s="10"/>
    </row>
    <row r="535">
      <c r="A535" s="46"/>
      <c r="B535" s="10"/>
      <c r="C535" s="10"/>
      <c r="D535" s="10"/>
    </row>
    <row r="536">
      <c r="A536" s="46"/>
      <c r="B536" s="10"/>
      <c r="C536" s="10"/>
      <c r="D536" s="10"/>
    </row>
    <row r="537">
      <c r="A537" s="46"/>
      <c r="B537" s="10"/>
      <c r="C537" s="10"/>
      <c r="D537" s="10"/>
    </row>
    <row r="538">
      <c r="A538" s="46"/>
      <c r="B538" s="10"/>
      <c r="C538" s="10"/>
      <c r="D538" s="10"/>
    </row>
    <row r="539">
      <c r="A539" s="46"/>
      <c r="B539" s="10"/>
      <c r="C539" s="10"/>
      <c r="D539" s="10"/>
    </row>
    <row r="540">
      <c r="A540" s="46"/>
      <c r="B540" s="10"/>
      <c r="C540" s="10"/>
      <c r="D540" s="10"/>
    </row>
    <row r="541">
      <c r="A541" s="46"/>
      <c r="B541" s="10"/>
      <c r="C541" s="10"/>
      <c r="D541" s="10"/>
    </row>
    <row r="542">
      <c r="A542" s="46"/>
      <c r="B542" s="10"/>
      <c r="C542" s="10"/>
      <c r="D542" s="10"/>
    </row>
    <row r="543">
      <c r="A543" s="46"/>
      <c r="B543" s="10"/>
      <c r="C543" s="10"/>
      <c r="D543" s="10"/>
    </row>
    <row r="544">
      <c r="A544" s="46"/>
      <c r="B544" s="10"/>
      <c r="C544" s="10"/>
      <c r="D544" s="10"/>
    </row>
    <row r="545">
      <c r="A545" s="46"/>
      <c r="B545" s="10"/>
      <c r="C545" s="10"/>
      <c r="D545" s="10"/>
    </row>
    <row r="546">
      <c r="A546" s="46"/>
      <c r="B546" s="10"/>
      <c r="C546" s="10"/>
      <c r="D546" s="10"/>
    </row>
    <row r="547">
      <c r="A547" s="46"/>
      <c r="B547" s="10"/>
      <c r="C547" s="10"/>
      <c r="D547" s="10"/>
    </row>
    <row r="548">
      <c r="A548" s="46"/>
      <c r="B548" s="10"/>
      <c r="C548" s="10"/>
      <c r="D548" s="10"/>
    </row>
    <row r="549">
      <c r="A549" s="46"/>
      <c r="B549" s="10"/>
      <c r="C549" s="10"/>
      <c r="D549" s="10"/>
    </row>
    <row r="550">
      <c r="A550" s="46"/>
      <c r="B550" s="10"/>
      <c r="C550" s="10"/>
      <c r="D550" s="10"/>
    </row>
    <row r="551">
      <c r="A551" s="46"/>
      <c r="B551" s="10"/>
      <c r="C551" s="10"/>
      <c r="D551" s="10"/>
    </row>
    <row r="552">
      <c r="A552" s="46"/>
      <c r="B552" s="10"/>
      <c r="C552" s="10"/>
      <c r="D552" s="10"/>
    </row>
    <row r="553">
      <c r="A553" s="46"/>
      <c r="B553" s="10"/>
      <c r="C553" s="10"/>
      <c r="D553" s="10"/>
    </row>
    <row r="554">
      <c r="A554" s="46"/>
      <c r="B554" s="10"/>
      <c r="C554" s="10"/>
      <c r="D554" s="10"/>
    </row>
    <row r="555">
      <c r="A555" s="46"/>
      <c r="B555" s="10"/>
      <c r="C555" s="10"/>
      <c r="D555" s="10"/>
    </row>
    <row r="556">
      <c r="A556" s="46"/>
      <c r="B556" s="10"/>
      <c r="C556" s="10"/>
      <c r="D556" s="10"/>
    </row>
    <row r="557">
      <c r="A557" s="46"/>
      <c r="B557" s="10"/>
      <c r="C557" s="10"/>
      <c r="D557" s="10"/>
    </row>
    <row r="558">
      <c r="A558" s="46"/>
      <c r="B558" s="10"/>
      <c r="C558" s="10"/>
      <c r="D558" s="10"/>
    </row>
    <row r="559">
      <c r="A559" s="46"/>
      <c r="B559" s="10"/>
      <c r="C559" s="10"/>
      <c r="D559" s="10"/>
    </row>
    <row r="560">
      <c r="A560" s="46"/>
      <c r="B560" s="10"/>
      <c r="C560" s="10"/>
      <c r="D560" s="10"/>
    </row>
    <row r="561">
      <c r="A561" s="46"/>
      <c r="B561" s="10"/>
      <c r="C561" s="10"/>
      <c r="D561" s="10"/>
    </row>
    <row r="562">
      <c r="A562" s="46"/>
      <c r="B562" s="10"/>
      <c r="C562" s="10"/>
      <c r="D562" s="10"/>
    </row>
    <row r="563">
      <c r="A563" s="46"/>
      <c r="B563" s="10"/>
      <c r="C563" s="10"/>
      <c r="D563" s="10"/>
    </row>
    <row r="564">
      <c r="A564" s="46"/>
      <c r="B564" s="10"/>
      <c r="C564" s="10"/>
      <c r="D564" s="10"/>
    </row>
    <row r="565">
      <c r="A565" s="46"/>
      <c r="B565" s="10"/>
      <c r="C565" s="10"/>
      <c r="D565" s="10"/>
    </row>
    <row r="566">
      <c r="A566" s="46"/>
      <c r="B566" s="10"/>
      <c r="C566" s="10"/>
      <c r="D566" s="10"/>
    </row>
    <row r="567">
      <c r="A567" s="46"/>
      <c r="B567" s="10"/>
      <c r="C567" s="10"/>
      <c r="D567" s="10"/>
    </row>
    <row r="568">
      <c r="A568" s="46"/>
      <c r="B568" s="10"/>
      <c r="C568" s="10"/>
      <c r="D568" s="10"/>
    </row>
    <row r="569">
      <c r="A569" s="46"/>
      <c r="B569" s="10"/>
      <c r="C569" s="10"/>
      <c r="D569" s="10"/>
    </row>
    <row r="570">
      <c r="A570" s="46"/>
      <c r="B570" s="10"/>
      <c r="C570" s="10"/>
      <c r="D570" s="10"/>
    </row>
    <row r="571">
      <c r="A571" s="46"/>
      <c r="B571" s="10"/>
      <c r="C571" s="10"/>
      <c r="D571" s="10"/>
    </row>
    <row r="572">
      <c r="A572" s="46"/>
      <c r="B572" s="10"/>
      <c r="C572" s="10"/>
      <c r="D572" s="10"/>
    </row>
    <row r="573">
      <c r="A573" s="46"/>
      <c r="B573" s="10"/>
      <c r="C573" s="10"/>
      <c r="D573" s="10"/>
    </row>
    <row r="574">
      <c r="A574" s="46"/>
      <c r="B574" s="10"/>
      <c r="C574" s="10"/>
      <c r="D574" s="10"/>
    </row>
    <row r="575">
      <c r="A575" s="46"/>
      <c r="B575" s="10"/>
      <c r="C575" s="10"/>
      <c r="D575" s="10"/>
    </row>
    <row r="576">
      <c r="A576" s="46"/>
      <c r="B576" s="10"/>
      <c r="C576" s="10"/>
      <c r="D576" s="10"/>
    </row>
    <row r="577">
      <c r="A577" s="46"/>
      <c r="B577" s="10"/>
      <c r="C577" s="10"/>
      <c r="D577" s="10"/>
    </row>
    <row r="578">
      <c r="A578" s="46"/>
      <c r="B578" s="10"/>
      <c r="C578" s="10"/>
      <c r="D578" s="10"/>
    </row>
    <row r="579">
      <c r="A579" s="46"/>
      <c r="B579" s="10"/>
      <c r="C579" s="10"/>
      <c r="D579" s="10"/>
    </row>
    <row r="580">
      <c r="A580" s="46"/>
      <c r="B580" s="10"/>
      <c r="C580" s="10"/>
      <c r="D580" s="10"/>
    </row>
    <row r="581">
      <c r="A581" s="46"/>
      <c r="B581" s="10"/>
      <c r="C581" s="10"/>
      <c r="D581" s="10"/>
    </row>
    <row r="582">
      <c r="A582" s="46"/>
      <c r="B582" s="10"/>
      <c r="C582" s="10"/>
      <c r="D582" s="10"/>
    </row>
    <row r="583">
      <c r="A583" s="46"/>
      <c r="B583" s="10"/>
      <c r="C583" s="10"/>
      <c r="D583" s="10"/>
    </row>
    <row r="584">
      <c r="A584" s="46"/>
      <c r="B584" s="10"/>
      <c r="C584" s="10"/>
      <c r="D584" s="10"/>
    </row>
    <row r="585">
      <c r="A585" s="46"/>
      <c r="B585" s="10"/>
      <c r="C585" s="10"/>
      <c r="D585" s="10"/>
    </row>
    <row r="586">
      <c r="A586" s="46"/>
      <c r="B586" s="10"/>
      <c r="C586" s="10"/>
      <c r="D586" s="10"/>
    </row>
    <row r="587">
      <c r="A587" s="46"/>
      <c r="B587" s="10"/>
      <c r="C587" s="10"/>
      <c r="D587" s="10"/>
    </row>
    <row r="588">
      <c r="A588" s="46"/>
      <c r="B588" s="10"/>
      <c r="C588" s="10"/>
      <c r="D588" s="10"/>
    </row>
    <row r="589">
      <c r="A589" s="46"/>
      <c r="B589" s="10"/>
      <c r="C589" s="10"/>
      <c r="D589" s="10"/>
    </row>
    <row r="590">
      <c r="A590" s="46"/>
      <c r="B590" s="10"/>
      <c r="C590" s="10"/>
      <c r="D590" s="10"/>
    </row>
    <row r="591">
      <c r="A591" s="46"/>
      <c r="B591" s="10"/>
      <c r="C591" s="10"/>
      <c r="D591" s="10"/>
    </row>
    <row r="592">
      <c r="A592" s="46"/>
      <c r="B592" s="10"/>
      <c r="C592" s="10"/>
      <c r="D592" s="10"/>
    </row>
    <row r="593">
      <c r="A593" s="46"/>
      <c r="B593" s="10"/>
      <c r="C593" s="10"/>
      <c r="D593" s="10"/>
    </row>
    <row r="594">
      <c r="A594" s="46"/>
      <c r="B594" s="10"/>
      <c r="C594" s="10"/>
      <c r="D594" s="10"/>
    </row>
    <row r="595">
      <c r="A595" s="46"/>
      <c r="B595" s="10"/>
      <c r="C595" s="10"/>
      <c r="D595" s="10"/>
    </row>
    <row r="596">
      <c r="A596" s="46"/>
      <c r="B596" s="10"/>
      <c r="C596" s="10"/>
      <c r="D596" s="10"/>
    </row>
    <row r="597">
      <c r="A597" s="46"/>
      <c r="B597" s="10"/>
      <c r="C597" s="10"/>
      <c r="D597" s="10"/>
    </row>
    <row r="598">
      <c r="A598" s="46"/>
      <c r="B598" s="10"/>
      <c r="C598" s="10"/>
      <c r="D598" s="10"/>
    </row>
    <row r="599">
      <c r="A599" s="46"/>
      <c r="B599" s="10"/>
      <c r="C599" s="10"/>
      <c r="D599" s="10"/>
    </row>
    <row r="600">
      <c r="A600" s="46"/>
      <c r="B600" s="10"/>
      <c r="C600" s="10"/>
      <c r="D600" s="10"/>
    </row>
    <row r="601">
      <c r="A601" s="46"/>
      <c r="B601" s="10"/>
      <c r="C601" s="10"/>
      <c r="D601" s="10"/>
    </row>
    <row r="602">
      <c r="A602" s="46"/>
      <c r="B602" s="10"/>
      <c r="C602" s="10"/>
      <c r="D602" s="10"/>
    </row>
    <row r="603">
      <c r="A603" s="46"/>
      <c r="B603" s="10"/>
      <c r="C603" s="10"/>
      <c r="D603" s="10"/>
    </row>
    <row r="604">
      <c r="A604" s="46"/>
      <c r="B604" s="10"/>
      <c r="C604" s="10"/>
      <c r="D604" s="10"/>
    </row>
    <row r="605">
      <c r="A605" s="46"/>
      <c r="B605" s="10"/>
      <c r="C605" s="10"/>
      <c r="D605" s="10"/>
    </row>
    <row r="606">
      <c r="A606" s="46"/>
      <c r="B606" s="10"/>
      <c r="C606" s="10"/>
      <c r="D606" s="10"/>
    </row>
    <row r="607">
      <c r="A607" s="46"/>
      <c r="B607" s="10"/>
      <c r="C607" s="10"/>
      <c r="D607" s="10"/>
    </row>
    <row r="608">
      <c r="A608" s="46"/>
      <c r="B608" s="10"/>
      <c r="C608" s="10"/>
      <c r="D608" s="10"/>
    </row>
    <row r="609">
      <c r="A609" s="46"/>
      <c r="B609" s="10"/>
      <c r="C609" s="10"/>
      <c r="D609" s="10"/>
    </row>
    <row r="610">
      <c r="A610" s="46"/>
      <c r="B610" s="10"/>
      <c r="C610" s="10"/>
      <c r="D610" s="10"/>
    </row>
    <row r="611">
      <c r="A611" s="46"/>
      <c r="B611" s="10"/>
      <c r="C611" s="10"/>
      <c r="D611" s="10"/>
    </row>
    <row r="612">
      <c r="A612" s="46"/>
      <c r="B612" s="10"/>
      <c r="C612" s="10"/>
      <c r="D612" s="10"/>
    </row>
    <row r="613">
      <c r="A613" s="46"/>
      <c r="B613" s="10"/>
      <c r="C613" s="10"/>
      <c r="D613" s="10"/>
    </row>
    <row r="614">
      <c r="A614" s="46"/>
      <c r="B614" s="10"/>
      <c r="C614" s="10"/>
      <c r="D614" s="10"/>
    </row>
    <row r="615">
      <c r="A615" s="46"/>
      <c r="B615" s="10"/>
      <c r="C615" s="10"/>
      <c r="D615" s="10"/>
    </row>
    <row r="616">
      <c r="A616" s="46"/>
      <c r="B616" s="10"/>
      <c r="C616" s="10"/>
      <c r="D616" s="10"/>
    </row>
    <row r="617">
      <c r="A617" s="46"/>
      <c r="B617" s="10"/>
      <c r="C617" s="10"/>
      <c r="D617" s="10"/>
    </row>
    <row r="618">
      <c r="A618" s="46"/>
      <c r="B618" s="10"/>
      <c r="C618" s="10"/>
      <c r="D618" s="10"/>
    </row>
    <row r="619">
      <c r="A619" s="46"/>
      <c r="B619" s="10"/>
      <c r="C619" s="10"/>
      <c r="D619" s="10"/>
    </row>
    <row r="620">
      <c r="A620" s="46"/>
      <c r="B620" s="10"/>
      <c r="C620" s="10"/>
      <c r="D620" s="10"/>
    </row>
    <row r="621">
      <c r="A621" s="46"/>
      <c r="B621" s="10"/>
      <c r="C621" s="10"/>
      <c r="D621" s="10"/>
    </row>
    <row r="622">
      <c r="A622" s="46"/>
      <c r="B622" s="10"/>
      <c r="C622" s="10"/>
      <c r="D622" s="10"/>
    </row>
    <row r="623">
      <c r="A623" s="46"/>
      <c r="B623" s="10"/>
      <c r="C623" s="10"/>
      <c r="D623" s="10"/>
    </row>
    <row r="624">
      <c r="A624" s="46"/>
      <c r="B624" s="10"/>
      <c r="C624" s="10"/>
      <c r="D624" s="10"/>
    </row>
    <row r="625">
      <c r="A625" s="46"/>
      <c r="B625" s="10"/>
      <c r="C625" s="10"/>
      <c r="D625" s="10"/>
    </row>
    <row r="626">
      <c r="A626" s="46"/>
      <c r="B626" s="10"/>
      <c r="C626" s="10"/>
      <c r="D626" s="10"/>
    </row>
    <row r="627">
      <c r="A627" s="46"/>
      <c r="B627" s="10"/>
      <c r="C627" s="10"/>
      <c r="D627" s="10"/>
    </row>
    <row r="628">
      <c r="A628" s="46"/>
      <c r="B628" s="10"/>
      <c r="C628" s="10"/>
      <c r="D628" s="10"/>
    </row>
    <row r="629">
      <c r="A629" s="46"/>
      <c r="B629" s="10"/>
      <c r="C629" s="10"/>
      <c r="D629" s="10"/>
    </row>
    <row r="630">
      <c r="A630" s="46"/>
      <c r="B630" s="10"/>
      <c r="C630" s="10"/>
      <c r="D630" s="10"/>
    </row>
    <row r="631">
      <c r="A631" s="46"/>
      <c r="B631" s="10"/>
      <c r="C631" s="10"/>
      <c r="D631" s="10"/>
    </row>
    <row r="632">
      <c r="A632" s="46"/>
      <c r="B632" s="10"/>
      <c r="C632" s="10"/>
      <c r="D632" s="10"/>
    </row>
    <row r="633">
      <c r="A633" s="46"/>
      <c r="B633" s="10"/>
      <c r="C633" s="10"/>
      <c r="D633" s="10"/>
    </row>
    <row r="634">
      <c r="A634" s="46"/>
      <c r="B634" s="10"/>
      <c r="C634" s="10"/>
      <c r="D634" s="10"/>
    </row>
    <row r="635">
      <c r="A635" s="46"/>
      <c r="B635" s="10"/>
      <c r="C635" s="10"/>
      <c r="D635" s="10"/>
    </row>
    <row r="636">
      <c r="A636" s="46"/>
      <c r="B636" s="10"/>
      <c r="C636" s="10"/>
      <c r="D636" s="10"/>
    </row>
    <row r="637">
      <c r="A637" s="46"/>
      <c r="B637" s="10"/>
      <c r="C637" s="10"/>
      <c r="D637" s="10"/>
    </row>
    <row r="638">
      <c r="A638" s="46"/>
      <c r="B638" s="10"/>
      <c r="C638" s="10"/>
      <c r="D638" s="10"/>
    </row>
    <row r="639">
      <c r="A639" s="46"/>
      <c r="B639" s="10"/>
      <c r="C639" s="10"/>
      <c r="D639" s="10"/>
    </row>
    <row r="640">
      <c r="A640" s="46"/>
      <c r="B640" s="10"/>
      <c r="C640" s="10"/>
      <c r="D640" s="10"/>
    </row>
    <row r="641">
      <c r="A641" s="46"/>
      <c r="B641" s="10"/>
      <c r="C641" s="10"/>
      <c r="D641" s="10"/>
    </row>
    <row r="642">
      <c r="A642" s="46"/>
      <c r="B642" s="10"/>
      <c r="C642" s="10"/>
      <c r="D642" s="10"/>
    </row>
    <row r="643">
      <c r="A643" s="46"/>
      <c r="B643" s="10"/>
      <c r="C643" s="10"/>
      <c r="D643" s="10"/>
    </row>
    <row r="644">
      <c r="A644" s="46"/>
      <c r="B644" s="10"/>
      <c r="C644" s="10"/>
      <c r="D644" s="10"/>
    </row>
    <row r="645">
      <c r="A645" s="46"/>
      <c r="B645" s="10"/>
      <c r="C645" s="10"/>
      <c r="D645" s="10"/>
    </row>
    <row r="646">
      <c r="A646" s="46"/>
      <c r="B646" s="10"/>
      <c r="C646" s="10"/>
      <c r="D646" s="10"/>
    </row>
    <row r="647">
      <c r="A647" s="46"/>
      <c r="B647" s="10"/>
      <c r="C647" s="10"/>
      <c r="D647" s="10"/>
    </row>
    <row r="648">
      <c r="A648" s="46"/>
      <c r="B648" s="10"/>
      <c r="C648" s="10"/>
      <c r="D648" s="10"/>
    </row>
    <row r="649">
      <c r="A649" s="46"/>
      <c r="B649" s="10"/>
      <c r="C649" s="10"/>
      <c r="D649" s="10"/>
    </row>
    <row r="650">
      <c r="A650" s="46"/>
      <c r="B650" s="10"/>
      <c r="C650" s="10"/>
      <c r="D650" s="10"/>
    </row>
    <row r="651">
      <c r="A651" s="46"/>
      <c r="B651" s="10"/>
      <c r="C651" s="10"/>
      <c r="D651" s="10"/>
    </row>
    <row r="652">
      <c r="A652" s="46"/>
      <c r="B652" s="10"/>
      <c r="C652" s="10"/>
      <c r="D652" s="10"/>
    </row>
    <row r="653">
      <c r="A653" s="46"/>
      <c r="B653" s="10"/>
      <c r="C653" s="10"/>
      <c r="D653" s="10"/>
    </row>
    <row r="654">
      <c r="A654" s="46"/>
      <c r="B654" s="10"/>
      <c r="C654" s="10"/>
      <c r="D654" s="10"/>
    </row>
    <row r="655">
      <c r="A655" s="46"/>
      <c r="B655" s="10"/>
      <c r="C655" s="10"/>
      <c r="D655" s="10"/>
    </row>
    <row r="656">
      <c r="A656" s="46"/>
      <c r="B656" s="10"/>
      <c r="C656" s="10"/>
      <c r="D656" s="10"/>
    </row>
    <row r="657">
      <c r="A657" s="46"/>
      <c r="B657" s="10"/>
      <c r="C657" s="10"/>
      <c r="D657" s="10"/>
    </row>
    <row r="658">
      <c r="A658" s="46"/>
      <c r="B658" s="10"/>
      <c r="C658" s="10"/>
      <c r="D658" s="10"/>
    </row>
    <row r="659">
      <c r="A659" s="46"/>
      <c r="B659" s="10"/>
      <c r="C659" s="10"/>
      <c r="D659" s="10"/>
    </row>
    <row r="660">
      <c r="A660" s="46"/>
      <c r="B660" s="10"/>
      <c r="C660" s="10"/>
      <c r="D660" s="10"/>
    </row>
    <row r="661">
      <c r="A661" s="46"/>
      <c r="B661" s="10"/>
      <c r="C661" s="10"/>
      <c r="D661" s="10"/>
    </row>
    <row r="662">
      <c r="A662" s="46"/>
      <c r="B662" s="10"/>
      <c r="C662" s="10"/>
      <c r="D662" s="10"/>
    </row>
    <row r="663">
      <c r="A663" s="46"/>
      <c r="B663" s="10"/>
      <c r="C663" s="10"/>
      <c r="D663" s="10"/>
    </row>
    <row r="664">
      <c r="A664" s="46"/>
      <c r="B664" s="10"/>
      <c r="C664" s="10"/>
      <c r="D664" s="10"/>
    </row>
    <row r="665">
      <c r="A665" s="46"/>
      <c r="B665" s="10"/>
      <c r="C665" s="10"/>
      <c r="D665" s="10"/>
    </row>
    <row r="666">
      <c r="A666" s="46"/>
      <c r="B666" s="10"/>
      <c r="C666" s="10"/>
      <c r="D666" s="10"/>
    </row>
    <row r="667">
      <c r="A667" s="46"/>
      <c r="B667" s="10"/>
      <c r="C667" s="10"/>
      <c r="D667" s="10"/>
    </row>
    <row r="668">
      <c r="A668" s="46"/>
      <c r="B668" s="10"/>
      <c r="C668" s="10"/>
      <c r="D668" s="10"/>
    </row>
    <row r="669">
      <c r="A669" s="46"/>
      <c r="B669" s="10"/>
      <c r="C669" s="10"/>
      <c r="D669" s="10"/>
    </row>
    <row r="670">
      <c r="A670" s="46"/>
      <c r="B670" s="10"/>
      <c r="C670" s="10"/>
      <c r="D670" s="10"/>
    </row>
    <row r="671">
      <c r="A671" s="46"/>
      <c r="B671" s="10"/>
      <c r="C671" s="10"/>
      <c r="D671" s="10"/>
    </row>
    <row r="672">
      <c r="A672" s="46"/>
      <c r="B672" s="10"/>
      <c r="C672" s="10"/>
      <c r="D672" s="10"/>
    </row>
    <row r="673">
      <c r="A673" s="46"/>
      <c r="B673" s="10"/>
      <c r="C673" s="10"/>
      <c r="D673" s="10"/>
    </row>
    <row r="674">
      <c r="A674" s="46"/>
      <c r="B674" s="10"/>
      <c r="C674" s="10"/>
      <c r="D674" s="10"/>
    </row>
    <row r="675">
      <c r="A675" s="46"/>
      <c r="B675" s="10"/>
      <c r="C675" s="10"/>
      <c r="D675" s="10"/>
    </row>
    <row r="676">
      <c r="A676" s="46"/>
      <c r="B676" s="10"/>
      <c r="C676" s="10"/>
      <c r="D676" s="10"/>
    </row>
    <row r="677">
      <c r="A677" s="46"/>
      <c r="B677" s="10"/>
      <c r="C677" s="10"/>
      <c r="D677" s="10"/>
    </row>
    <row r="678">
      <c r="A678" s="46"/>
      <c r="B678" s="10"/>
      <c r="C678" s="10"/>
      <c r="D678" s="10"/>
    </row>
    <row r="679">
      <c r="A679" s="46"/>
      <c r="B679" s="10"/>
      <c r="C679" s="10"/>
      <c r="D679" s="10"/>
    </row>
    <row r="680">
      <c r="A680" s="46"/>
      <c r="B680" s="10"/>
      <c r="C680" s="10"/>
      <c r="D680" s="10"/>
    </row>
    <row r="681">
      <c r="A681" s="46"/>
      <c r="B681" s="10"/>
      <c r="C681" s="10"/>
      <c r="D681" s="10"/>
    </row>
    <row r="682">
      <c r="A682" s="46"/>
      <c r="B682" s="10"/>
      <c r="C682" s="10"/>
      <c r="D682" s="10"/>
    </row>
    <row r="683">
      <c r="A683" s="46"/>
      <c r="B683" s="10"/>
      <c r="C683" s="10"/>
      <c r="D683" s="10"/>
    </row>
    <row r="684">
      <c r="A684" s="46"/>
      <c r="B684" s="10"/>
      <c r="C684" s="10"/>
      <c r="D684" s="10"/>
    </row>
    <row r="685">
      <c r="A685" s="46"/>
      <c r="B685" s="10"/>
      <c r="C685" s="10"/>
      <c r="D685" s="10"/>
    </row>
    <row r="686">
      <c r="A686" s="46"/>
      <c r="B686" s="10"/>
      <c r="C686" s="10"/>
      <c r="D686" s="10"/>
    </row>
    <row r="687">
      <c r="A687" s="46"/>
      <c r="B687" s="10"/>
      <c r="C687" s="10"/>
      <c r="D687" s="10"/>
    </row>
    <row r="688">
      <c r="A688" s="46"/>
      <c r="B688" s="10"/>
      <c r="C688" s="10"/>
      <c r="D688" s="10"/>
    </row>
    <row r="689">
      <c r="A689" s="46"/>
      <c r="B689" s="10"/>
      <c r="C689" s="10"/>
      <c r="D689" s="10"/>
    </row>
    <row r="690">
      <c r="A690" s="46"/>
      <c r="B690" s="10"/>
      <c r="C690" s="10"/>
      <c r="D690" s="10"/>
    </row>
    <row r="691">
      <c r="A691" s="46"/>
      <c r="B691" s="10"/>
      <c r="C691" s="10"/>
      <c r="D691" s="10"/>
    </row>
    <row r="692">
      <c r="A692" s="46"/>
      <c r="B692" s="10"/>
      <c r="C692" s="10"/>
      <c r="D692" s="10"/>
    </row>
    <row r="693">
      <c r="A693" s="46"/>
      <c r="B693" s="10"/>
      <c r="C693" s="10"/>
      <c r="D693" s="10"/>
    </row>
    <row r="694">
      <c r="A694" s="46"/>
      <c r="B694" s="10"/>
      <c r="C694" s="10"/>
      <c r="D694" s="10"/>
    </row>
    <row r="695">
      <c r="A695" s="46"/>
      <c r="B695" s="10"/>
      <c r="C695" s="10"/>
      <c r="D695" s="10"/>
    </row>
    <row r="696">
      <c r="A696" s="46"/>
      <c r="B696" s="10"/>
      <c r="C696" s="10"/>
      <c r="D696" s="10"/>
    </row>
    <row r="697">
      <c r="A697" s="46"/>
      <c r="B697" s="10"/>
      <c r="C697" s="10"/>
      <c r="D697" s="10"/>
    </row>
    <row r="698">
      <c r="A698" s="46"/>
      <c r="B698" s="10"/>
      <c r="C698" s="10"/>
      <c r="D698" s="10"/>
    </row>
    <row r="699">
      <c r="A699" s="46"/>
      <c r="B699" s="10"/>
      <c r="C699" s="10"/>
      <c r="D699" s="10"/>
    </row>
    <row r="700">
      <c r="A700" s="46"/>
      <c r="B700" s="10"/>
      <c r="C700" s="10"/>
      <c r="D700" s="10"/>
    </row>
    <row r="701">
      <c r="A701" s="46"/>
      <c r="B701" s="10"/>
      <c r="C701" s="10"/>
      <c r="D701" s="10"/>
    </row>
    <row r="702">
      <c r="A702" s="46"/>
      <c r="B702" s="10"/>
      <c r="C702" s="10"/>
      <c r="D702" s="10"/>
    </row>
    <row r="703">
      <c r="A703" s="46"/>
      <c r="B703" s="10"/>
      <c r="C703" s="10"/>
      <c r="D703" s="10"/>
    </row>
    <row r="704">
      <c r="A704" s="46"/>
      <c r="B704" s="10"/>
      <c r="C704" s="10"/>
      <c r="D704" s="10"/>
    </row>
    <row r="705">
      <c r="A705" s="46"/>
      <c r="B705" s="10"/>
      <c r="C705" s="10"/>
      <c r="D705" s="10"/>
    </row>
    <row r="706">
      <c r="A706" s="46"/>
      <c r="B706" s="10"/>
      <c r="C706" s="10"/>
      <c r="D706" s="10"/>
    </row>
    <row r="707">
      <c r="A707" s="46"/>
      <c r="B707" s="10"/>
      <c r="C707" s="10"/>
      <c r="D707" s="10"/>
    </row>
    <row r="708">
      <c r="A708" s="46"/>
      <c r="B708" s="10"/>
      <c r="C708" s="10"/>
      <c r="D708" s="10"/>
    </row>
    <row r="709">
      <c r="A709" s="46"/>
      <c r="B709" s="10"/>
      <c r="C709" s="10"/>
      <c r="D709" s="10"/>
    </row>
    <row r="710">
      <c r="A710" s="46"/>
      <c r="B710" s="10"/>
      <c r="C710" s="10"/>
      <c r="D710" s="10"/>
    </row>
    <row r="711">
      <c r="A711" s="46"/>
      <c r="B711" s="10"/>
      <c r="C711" s="10"/>
      <c r="D711" s="10"/>
    </row>
    <row r="712">
      <c r="A712" s="46"/>
      <c r="B712" s="10"/>
      <c r="C712" s="10"/>
      <c r="D712" s="10"/>
    </row>
    <row r="713">
      <c r="A713" s="46"/>
      <c r="B713" s="10"/>
      <c r="C713" s="10"/>
      <c r="D713" s="10"/>
    </row>
    <row r="714">
      <c r="A714" s="46"/>
      <c r="B714" s="10"/>
      <c r="C714" s="10"/>
      <c r="D714" s="10"/>
    </row>
    <row r="715">
      <c r="A715" s="46"/>
      <c r="B715" s="10"/>
      <c r="C715" s="10"/>
      <c r="D715" s="10"/>
    </row>
    <row r="716">
      <c r="A716" s="46"/>
      <c r="B716" s="10"/>
      <c r="C716" s="10"/>
      <c r="D716" s="10"/>
    </row>
    <row r="717">
      <c r="A717" s="46"/>
      <c r="B717" s="10"/>
      <c r="C717" s="10"/>
      <c r="D717" s="10"/>
    </row>
    <row r="718">
      <c r="A718" s="46"/>
      <c r="B718" s="10"/>
      <c r="C718" s="10"/>
      <c r="D718" s="10"/>
    </row>
    <row r="719">
      <c r="A719" s="46"/>
      <c r="B719" s="10"/>
      <c r="C719" s="10"/>
      <c r="D719" s="10"/>
    </row>
    <row r="720">
      <c r="A720" s="46"/>
      <c r="B720" s="10"/>
      <c r="C720" s="10"/>
      <c r="D720" s="10"/>
    </row>
    <row r="721">
      <c r="A721" s="46"/>
      <c r="B721" s="10"/>
      <c r="C721" s="10"/>
      <c r="D721" s="10"/>
    </row>
    <row r="722">
      <c r="A722" s="46"/>
      <c r="B722" s="10"/>
      <c r="C722" s="10"/>
      <c r="D722" s="10"/>
    </row>
    <row r="723">
      <c r="A723" s="46"/>
      <c r="B723" s="10"/>
      <c r="C723" s="10"/>
      <c r="D723" s="10"/>
    </row>
    <row r="724">
      <c r="A724" s="46"/>
      <c r="B724" s="10"/>
      <c r="C724" s="10"/>
      <c r="D724" s="10"/>
    </row>
    <row r="725">
      <c r="A725" s="46"/>
      <c r="B725" s="10"/>
      <c r="C725" s="10"/>
      <c r="D725" s="10"/>
    </row>
    <row r="726">
      <c r="A726" s="46"/>
      <c r="B726" s="10"/>
      <c r="C726" s="10"/>
      <c r="D726" s="10"/>
    </row>
    <row r="727">
      <c r="A727" s="46"/>
      <c r="B727" s="10"/>
      <c r="C727" s="10"/>
      <c r="D727" s="10"/>
    </row>
    <row r="728">
      <c r="A728" s="46"/>
      <c r="B728" s="10"/>
      <c r="C728" s="10"/>
      <c r="D728" s="10"/>
    </row>
    <row r="729">
      <c r="A729" s="46"/>
      <c r="B729" s="10"/>
      <c r="C729" s="10"/>
      <c r="D729" s="10"/>
    </row>
    <row r="730">
      <c r="A730" s="46"/>
      <c r="B730" s="10"/>
      <c r="C730" s="10"/>
      <c r="D730" s="10"/>
    </row>
    <row r="731">
      <c r="A731" s="46"/>
      <c r="B731" s="10"/>
      <c r="C731" s="10"/>
      <c r="D731" s="10"/>
    </row>
    <row r="732">
      <c r="A732" s="46"/>
      <c r="B732" s="10"/>
      <c r="C732" s="10"/>
      <c r="D732" s="10"/>
    </row>
    <row r="733">
      <c r="A733" s="46"/>
      <c r="B733" s="10"/>
      <c r="C733" s="10"/>
      <c r="D733" s="10"/>
    </row>
    <row r="734">
      <c r="A734" s="46"/>
      <c r="B734" s="10"/>
      <c r="C734" s="10"/>
      <c r="D734" s="10"/>
    </row>
    <row r="735">
      <c r="A735" s="46"/>
      <c r="B735" s="10"/>
      <c r="C735" s="10"/>
      <c r="D735" s="10"/>
    </row>
    <row r="736">
      <c r="A736" s="46"/>
      <c r="B736" s="10"/>
      <c r="C736" s="10"/>
      <c r="D736" s="10"/>
    </row>
    <row r="737">
      <c r="A737" s="46"/>
      <c r="B737" s="10"/>
      <c r="C737" s="10"/>
      <c r="D737" s="10"/>
    </row>
    <row r="738">
      <c r="A738" s="46"/>
      <c r="B738" s="10"/>
      <c r="C738" s="10"/>
      <c r="D738" s="10"/>
    </row>
    <row r="739">
      <c r="A739" s="46"/>
      <c r="B739" s="10"/>
      <c r="C739" s="10"/>
      <c r="D739" s="10"/>
    </row>
    <row r="740">
      <c r="A740" s="46"/>
      <c r="B740" s="10"/>
      <c r="C740" s="10"/>
      <c r="D740" s="10"/>
    </row>
    <row r="741">
      <c r="A741" s="46"/>
      <c r="B741" s="10"/>
      <c r="C741" s="10"/>
      <c r="D741" s="10"/>
    </row>
    <row r="742">
      <c r="A742" s="46"/>
      <c r="B742" s="10"/>
      <c r="C742" s="10"/>
      <c r="D742" s="10"/>
    </row>
    <row r="743">
      <c r="A743" s="46"/>
      <c r="B743" s="10"/>
      <c r="C743" s="10"/>
      <c r="D743" s="10"/>
    </row>
    <row r="744">
      <c r="A744" s="46"/>
      <c r="B744" s="10"/>
      <c r="C744" s="10"/>
      <c r="D744" s="10"/>
    </row>
    <row r="745">
      <c r="A745" s="46"/>
      <c r="B745" s="10"/>
      <c r="C745" s="10"/>
      <c r="D745" s="10"/>
    </row>
    <row r="746">
      <c r="A746" s="46"/>
      <c r="B746" s="10"/>
      <c r="C746" s="10"/>
      <c r="D746" s="10"/>
    </row>
    <row r="747">
      <c r="A747" s="46"/>
      <c r="B747" s="10"/>
      <c r="C747" s="10"/>
      <c r="D747" s="10"/>
    </row>
    <row r="748">
      <c r="A748" s="46"/>
      <c r="B748" s="10"/>
      <c r="C748" s="10"/>
      <c r="D748" s="10"/>
    </row>
    <row r="749">
      <c r="A749" s="46"/>
      <c r="B749" s="10"/>
      <c r="C749" s="10"/>
      <c r="D749" s="10"/>
    </row>
    <row r="750">
      <c r="A750" s="46"/>
      <c r="B750" s="10"/>
      <c r="C750" s="10"/>
      <c r="D750" s="10"/>
    </row>
    <row r="751">
      <c r="A751" s="46"/>
      <c r="B751" s="10"/>
      <c r="C751" s="10"/>
      <c r="D751" s="10"/>
    </row>
    <row r="752">
      <c r="A752" s="46"/>
      <c r="B752" s="10"/>
      <c r="C752" s="10"/>
      <c r="D752" s="10"/>
    </row>
    <row r="753">
      <c r="A753" s="46"/>
      <c r="B753" s="10"/>
      <c r="C753" s="10"/>
      <c r="D753" s="10"/>
    </row>
    <row r="754">
      <c r="A754" s="46"/>
      <c r="B754" s="10"/>
      <c r="C754" s="10"/>
      <c r="D754" s="10"/>
    </row>
    <row r="755">
      <c r="A755" s="46"/>
      <c r="B755" s="10"/>
      <c r="C755" s="10"/>
      <c r="D755" s="10"/>
    </row>
    <row r="756">
      <c r="A756" s="46"/>
      <c r="B756" s="10"/>
      <c r="C756" s="10"/>
      <c r="D756" s="10"/>
    </row>
    <row r="757">
      <c r="A757" s="46"/>
      <c r="B757" s="10"/>
      <c r="C757" s="10"/>
      <c r="D757" s="10"/>
    </row>
    <row r="758">
      <c r="A758" s="46"/>
      <c r="B758" s="10"/>
      <c r="C758" s="10"/>
      <c r="D758" s="10"/>
    </row>
    <row r="759">
      <c r="A759" s="46"/>
      <c r="B759" s="10"/>
      <c r="C759" s="10"/>
      <c r="D759" s="10"/>
    </row>
    <row r="760">
      <c r="A760" s="46"/>
      <c r="B760" s="10"/>
      <c r="C760" s="10"/>
      <c r="D760" s="10"/>
    </row>
    <row r="761">
      <c r="A761" s="46"/>
      <c r="B761" s="10"/>
      <c r="C761" s="10"/>
      <c r="D761" s="10"/>
    </row>
    <row r="762">
      <c r="A762" s="46"/>
      <c r="B762" s="10"/>
      <c r="C762" s="10"/>
      <c r="D762" s="10"/>
    </row>
    <row r="763">
      <c r="A763" s="46"/>
      <c r="B763" s="10"/>
      <c r="C763" s="10"/>
      <c r="D763" s="10"/>
    </row>
    <row r="764">
      <c r="A764" s="46"/>
      <c r="B764" s="10"/>
      <c r="C764" s="10"/>
      <c r="D764" s="10"/>
    </row>
    <row r="765">
      <c r="A765" s="46"/>
      <c r="B765" s="10"/>
      <c r="C765" s="10"/>
      <c r="D765" s="10"/>
    </row>
    <row r="766">
      <c r="A766" s="46"/>
      <c r="B766" s="10"/>
      <c r="C766" s="10"/>
      <c r="D766" s="10"/>
    </row>
    <row r="767">
      <c r="A767" s="46"/>
      <c r="B767" s="10"/>
      <c r="C767" s="10"/>
      <c r="D767" s="10"/>
    </row>
    <row r="768">
      <c r="A768" s="46"/>
      <c r="B768" s="10"/>
      <c r="C768" s="10"/>
      <c r="D768" s="10"/>
    </row>
    <row r="769">
      <c r="A769" s="46"/>
      <c r="B769" s="10"/>
      <c r="C769" s="10"/>
      <c r="D769" s="10"/>
    </row>
    <row r="770">
      <c r="A770" s="46"/>
      <c r="B770" s="10"/>
      <c r="C770" s="10"/>
      <c r="D770" s="10"/>
    </row>
    <row r="771">
      <c r="A771" s="46"/>
      <c r="B771" s="10"/>
      <c r="C771" s="10"/>
      <c r="D771" s="10"/>
    </row>
    <row r="772">
      <c r="A772" s="46"/>
      <c r="B772" s="10"/>
      <c r="C772" s="10"/>
      <c r="D772" s="10"/>
    </row>
    <row r="773">
      <c r="A773" s="46"/>
      <c r="B773" s="10"/>
      <c r="C773" s="10"/>
      <c r="D773" s="10"/>
    </row>
    <row r="774">
      <c r="A774" s="46"/>
      <c r="B774" s="10"/>
      <c r="C774" s="10"/>
      <c r="D774" s="10"/>
    </row>
    <row r="775">
      <c r="A775" s="46"/>
      <c r="B775" s="10"/>
      <c r="C775" s="10"/>
      <c r="D775" s="10"/>
    </row>
    <row r="776">
      <c r="A776" s="46"/>
      <c r="B776" s="10"/>
      <c r="C776" s="10"/>
      <c r="D776" s="10"/>
    </row>
    <row r="777">
      <c r="A777" s="46"/>
      <c r="B777" s="10"/>
      <c r="C777" s="10"/>
      <c r="D777" s="10"/>
    </row>
    <row r="778">
      <c r="A778" s="46"/>
      <c r="B778" s="10"/>
      <c r="C778" s="10"/>
      <c r="D778" s="10"/>
    </row>
    <row r="779">
      <c r="A779" s="46"/>
      <c r="B779" s="10"/>
      <c r="C779" s="10"/>
      <c r="D779" s="10"/>
    </row>
    <row r="780">
      <c r="A780" s="46"/>
      <c r="B780" s="10"/>
      <c r="C780" s="10"/>
      <c r="D780" s="10"/>
    </row>
    <row r="781">
      <c r="A781" s="46"/>
      <c r="B781" s="10"/>
      <c r="C781" s="10"/>
      <c r="D781" s="10"/>
    </row>
    <row r="782">
      <c r="A782" s="46"/>
      <c r="B782" s="10"/>
      <c r="C782" s="10"/>
      <c r="D782" s="10"/>
    </row>
    <row r="783">
      <c r="A783" s="46"/>
      <c r="B783" s="10"/>
      <c r="C783" s="10"/>
      <c r="D783" s="10"/>
    </row>
    <row r="784">
      <c r="A784" s="46"/>
      <c r="B784" s="10"/>
      <c r="C784" s="10"/>
      <c r="D784" s="10"/>
    </row>
    <row r="785">
      <c r="A785" s="46"/>
      <c r="B785" s="10"/>
      <c r="C785" s="10"/>
      <c r="D785" s="10"/>
    </row>
    <row r="786">
      <c r="A786" s="46"/>
      <c r="B786" s="10"/>
      <c r="C786" s="10"/>
      <c r="D786" s="10"/>
    </row>
    <row r="787">
      <c r="A787" s="46"/>
      <c r="B787" s="10"/>
      <c r="C787" s="10"/>
      <c r="D787" s="10"/>
    </row>
    <row r="788">
      <c r="A788" s="46"/>
      <c r="B788" s="10"/>
      <c r="C788" s="10"/>
      <c r="D788" s="10"/>
    </row>
    <row r="789">
      <c r="A789" s="46"/>
      <c r="B789" s="10"/>
      <c r="C789" s="10"/>
      <c r="D789" s="10"/>
    </row>
    <row r="790">
      <c r="A790" s="46"/>
      <c r="B790" s="10"/>
      <c r="C790" s="10"/>
      <c r="D790" s="10"/>
    </row>
    <row r="791">
      <c r="A791" s="46"/>
      <c r="B791" s="10"/>
      <c r="C791" s="10"/>
      <c r="D791" s="10"/>
    </row>
    <row r="792">
      <c r="A792" s="46"/>
      <c r="B792" s="10"/>
      <c r="C792" s="10"/>
      <c r="D792" s="10"/>
    </row>
    <row r="793">
      <c r="A793" s="46"/>
      <c r="B793" s="10"/>
      <c r="C793" s="10"/>
      <c r="D793" s="10"/>
    </row>
    <row r="794">
      <c r="A794" s="46"/>
      <c r="B794" s="10"/>
      <c r="C794" s="10"/>
      <c r="D794" s="10"/>
    </row>
    <row r="795">
      <c r="A795" s="46"/>
      <c r="B795" s="10"/>
      <c r="C795" s="10"/>
      <c r="D795" s="10"/>
    </row>
    <row r="796">
      <c r="A796" s="46"/>
      <c r="B796" s="10"/>
      <c r="C796" s="10"/>
      <c r="D796" s="10"/>
    </row>
    <row r="797">
      <c r="A797" s="46"/>
      <c r="B797" s="10"/>
      <c r="C797" s="10"/>
      <c r="D797" s="10"/>
    </row>
    <row r="798">
      <c r="A798" s="46"/>
      <c r="B798" s="10"/>
      <c r="C798" s="10"/>
      <c r="D798" s="10"/>
    </row>
    <row r="799">
      <c r="A799" s="46"/>
      <c r="B799" s="10"/>
      <c r="C799" s="10"/>
      <c r="D799" s="10"/>
    </row>
    <row r="800">
      <c r="A800" s="46"/>
      <c r="B800" s="10"/>
      <c r="C800" s="10"/>
      <c r="D800" s="10"/>
    </row>
    <row r="801">
      <c r="A801" s="46"/>
      <c r="B801" s="10"/>
      <c r="C801" s="10"/>
      <c r="D801" s="10"/>
    </row>
    <row r="802">
      <c r="A802" s="46"/>
      <c r="B802" s="10"/>
      <c r="C802" s="10"/>
      <c r="D802" s="10"/>
    </row>
    <row r="803">
      <c r="A803" s="46"/>
      <c r="B803" s="10"/>
      <c r="C803" s="10"/>
      <c r="D803" s="10"/>
    </row>
    <row r="804">
      <c r="A804" s="46"/>
      <c r="B804" s="10"/>
      <c r="C804" s="10"/>
      <c r="D804" s="10"/>
    </row>
    <row r="805">
      <c r="A805" s="46"/>
      <c r="B805" s="10"/>
      <c r="C805" s="10"/>
      <c r="D805" s="10"/>
    </row>
    <row r="806">
      <c r="A806" s="46"/>
      <c r="B806" s="10"/>
      <c r="C806" s="10"/>
      <c r="D806" s="10"/>
    </row>
    <row r="807">
      <c r="A807" s="46"/>
      <c r="B807" s="10"/>
      <c r="C807" s="10"/>
      <c r="D807" s="10"/>
    </row>
    <row r="808">
      <c r="A808" s="46"/>
      <c r="B808" s="10"/>
      <c r="C808" s="10"/>
      <c r="D808" s="10"/>
    </row>
    <row r="809">
      <c r="A809" s="46"/>
      <c r="B809" s="10"/>
      <c r="C809" s="10"/>
      <c r="D809" s="10"/>
    </row>
    <row r="810">
      <c r="A810" s="46"/>
      <c r="B810" s="10"/>
      <c r="C810" s="10"/>
      <c r="D810" s="10"/>
    </row>
    <row r="811">
      <c r="A811" s="46"/>
      <c r="B811" s="10"/>
      <c r="C811" s="10"/>
      <c r="D811" s="10"/>
    </row>
    <row r="812">
      <c r="A812" s="46"/>
      <c r="B812" s="10"/>
      <c r="C812" s="10"/>
      <c r="D812" s="10"/>
    </row>
    <row r="813">
      <c r="A813" s="46"/>
      <c r="B813" s="10"/>
      <c r="C813" s="10"/>
      <c r="D813" s="10"/>
    </row>
    <row r="814">
      <c r="A814" s="46"/>
      <c r="B814" s="10"/>
      <c r="C814" s="10"/>
      <c r="D814" s="10"/>
    </row>
    <row r="815">
      <c r="A815" s="46"/>
      <c r="B815" s="10"/>
      <c r="C815" s="10"/>
      <c r="D815" s="10"/>
    </row>
    <row r="816">
      <c r="A816" s="46"/>
      <c r="B816" s="10"/>
      <c r="C816" s="10"/>
      <c r="D816" s="10"/>
    </row>
    <row r="817">
      <c r="A817" s="46"/>
      <c r="B817" s="10"/>
      <c r="C817" s="10"/>
      <c r="D817" s="10"/>
    </row>
    <row r="818">
      <c r="A818" s="46"/>
      <c r="B818" s="10"/>
      <c r="C818" s="10"/>
      <c r="D818" s="10"/>
    </row>
    <row r="819">
      <c r="A819" s="46"/>
      <c r="B819" s="10"/>
      <c r="C819" s="10"/>
      <c r="D819" s="10"/>
    </row>
    <row r="820">
      <c r="A820" s="46"/>
      <c r="B820" s="10"/>
      <c r="C820" s="10"/>
      <c r="D820" s="10"/>
    </row>
    <row r="821">
      <c r="A821" s="46"/>
      <c r="B821" s="10"/>
      <c r="C821" s="10"/>
      <c r="D821" s="10"/>
    </row>
    <row r="822">
      <c r="A822" s="46"/>
      <c r="B822" s="10"/>
      <c r="C822" s="10"/>
      <c r="D822" s="10"/>
    </row>
    <row r="823">
      <c r="A823" s="46"/>
      <c r="B823" s="10"/>
      <c r="C823" s="10"/>
      <c r="D823" s="10"/>
    </row>
    <row r="824">
      <c r="A824" s="46"/>
      <c r="B824" s="10"/>
      <c r="C824" s="10"/>
      <c r="D824" s="10"/>
    </row>
    <row r="825">
      <c r="A825" s="46"/>
      <c r="B825" s="10"/>
      <c r="C825" s="10"/>
      <c r="D825" s="10"/>
    </row>
    <row r="826">
      <c r="A826" s="46"/>
      <c r="B826" s="10"/>
      <c r="C826" s="10"/>
      <c r="D826" s="10"/>
    </row>
    <row r="827">
      <c r="A827" s="46"/>
      <c r="B827" s="10"/>
      <c r="C827" s="10"/>
      <c r="D827" s="10"/>
    </row>
    <row r="828">
      <c r="A828" s="46"/>
      <c r="B828" s="10"/>
      <c r="C828" s="10"/>
      <c r="D828" s="10"/>
    </row>
    <row r="829">
      <c r="A829" s="46"/>
      <c r="B829" s="10"/>
      <c r="C829" s="10"/>
      <c r="D829" s="10"/>
    </row>
    <row r="830">
      <c r="A830" s="46"/>
      <c r="B830" s="10"/>
      <c r="C830" s="10"/>
      <c r="D830" s="10"/>
    </row>
    <row r="831">
      <c r="A831" s="46"/>
      <c r="B831" s="10"/>
      <c r="C831" s="10"/>
      <c r="D831" s="10"/>
    </row>
    <row r="832">
      <c r="A832" s="46"/>
      <c r="B832" s="10"/>
      <c r="C832" s="10"/>
      <c r="D832" s="10"/>
    </row>
    <row r="833">
      <c r="A833" s="46"/>
      <c r="B833" s="10"/>
      <c r="C833" s="10"/>
      <c r="D833" s="10"/>
    </row>
    <row r="834">
      <c r="A834" s="46"/>
      <c r="B834" s="10"/>
      <c r="C834" s="10"/>
      <c r="D834" s="10"/>
    </row>
    <row r="835">
      <c r="A835" s="46"/>
      <c r="B835" s="10"/>
      <c r="C835" s="10"/>
      <c r="D835" s="10"/>
    </row>
    <row r="836">
      <c r="A836" s="46"/>
      <c r="B836" s="10"/>
      <c r="C836" s="10"/>
      <c r="D836" s="10"/>
    </row>
    <row r="837">
      <c r="A837" s="46"/>
      <c r="B837" s="10"/>
      <c r="C837" s="10"/>
      <c r="D837" s="10"/>
    </row>
    <row r="838">
      <c r="A838" s="46"/>
      <c r="B838" s="10"/>
      <c r="C838" s="10"/>
      <c r="D838" s="10"/>
    </row>
    <row r="839">
      <c r="A839" s="46"/>
      <c r="B839" s="10"/>
      <c r="C839" s="10"/>
      <c r="D839" s="10"/>
    </row>
    <row r="840">
      <c r="A840" s="46"/>
      <c r="B840" s="10"/>
      <c r="C840" s="10"/>
      <c r="D840" s="10"/>
    </row>
    <row r="841">
      <c r="A841" s="46"/>
      <c r="B841" s="10"/>
      <c r="C841" s="10"/>
      <c r="D841" s="10"/>
    </row>
    <row r="842">
      <c r="A842" s="46"/>
      <c r="B842" s="10"/>
      <c r="C842" s="10"/>
      <c r="D842" s="10"/>
    </row>
    <row r="843">
      <c r="A843" s="46"/>
      <c r="B843" s="10"/>
      <c r="C843" s="10"/>
      <c r="D843" s="10"/>
    </row>
    <row r="844">
      <c r="A844" s="46"/>
      <c r="B844" s="10"/>
      <c r="C844" s="10"/>
      <c r="D844" s="10"/>
    </row>
    <row r="845">
      <c r="A845" s="46"/>
      <c r="B845" s="10"/>
      <c r="C845" s="10"/>
      <c r="D845" s="10"/>
    </row>
    <row r="846">
      <c r="A846" s="46"/>
      <c r="B846" s="10"/>
      <c r="C846" s="10"/>
      <c r="D846" s="10"/>
    </row>
    <row r="847">
      <c r="A847" s="46"/>
      <c r="B847" s="10"/>
      <c r="C847" s="10"/>
      <c r="D847" s="10"/>
    </row>
    <row r="848">
      <c r="A848" s="46"/>
      <c r="B848" s="10"/>
      <c r="C848" s="10"/>
      <c r="D848" s="10"/>
    </row>
    <row r="849">
      <c r="A849" s="46"/>
      <c r="B849" s="10"/>
      <c r="C849" s="10"/>
      <c r="D849" s="10"/>
    </row>
    <row r="850">
      <c r="A850" s="46"/>
      <c r="B850" s="10"/>
      <c r="C850" s="10"/>
      <c r="D850" s="10"/>
    </row>
    <row r="851">
      <c r="A851" s="46"/>
      <c r="B851" s="10"/>
      <c r="C851" s="10"/>
      <c r="D851" s="10"/>
    </row>
    <row r="852">
      <c r="A852" s="46"/>
      <c r="B852" s="10"/>
      <c r="C852" s="10"/>
      <c r="D852" s="10"/>
    </row>
    <row r="853">
      <c r="A853" s="46"/>
      <c r="B853" s="10"/>
      <c r="C853" s="10"/>
      <c r="D853" s="10"/>
    </row>
    <row r="854">
      <c r="A854" s="46"/>
      <c r="B854" s="10"/>
      <c r="C854" s="10"/>
      <c r="D854" s="10"/>
    </row>
    <row r="855">
      <c r="A855" s="46"/>
      <c r="B855" s="10"/>
      <c r="C855" s="10"/>
      <c r="D855" s="10"/>
    </row>
    <row r="856">
      <c r="A856" s="46"/>
      <c r="B856" s="10"/>
      <c r="C856" s="10"/>
      <c r="D856" s="10"/>
    </row>
    <row r="857">
      <c r="A857" s="46"/>
      <c r="B857" s="10"/>
      <c r="C857" s="10"/>
      <c r="D857" s="10"/>
    </row>
    <row r="858">
      <c r="A858" s="46"/>
      <c r="B858" s="10"/>
      <c r="C858" s="10"/>
      <c r="D858" s="10"/>
    </row>
    <row r="859">
      <c r="A859" s="46"/>
      <c r="B859" s="10"/>
      <c r="C859" s="10"/>
      <c r="D859" s="10"/>
    </row>
    <row r="860">
      <c r="A860" s="46"/>
      <c r="B860" s="10"/>
      <c r="C860" s="10"/>
      <c r="D860" s="10"/>
    </row>
    <row r="861">
      <c r="A861" s="46"/>
      <c r="B861" s="10"/>
      <c r="C861" s="10"/>
      <c r="D861" s="10"/>
    </row>
    <row r="862">
      <c r="A862" s="46"/>
      <c r="B862" s="10"/>
      <c r="C862" s="10"/>
      <c r="D862" s="10"/>
    </row>
    <row r="863">
      <c r="A863" s="46"/>
      <c r="B863" s="10"/>
      <c r="C863" s="10"/>
      <c r="D863" s="10"/>
    </row>
    <row r="864">
      <c r="A864" s="46"/>
      <c r="B864" s="10"/>
      <c r="C864" s="10"/>
      <c r="D864" s="10"/>
    </row>
    <row r="865">
      <c r="A865" s="46"/>
      <c r="B865" s="10"/>
      <c r="C865" s="10"/>
      <c r="D865" s="10"/>
    </row>
    <row r="866">
      <c r="A866" s="46"/>
      <c r="B866" s="10"/>
      <c r="C866" s="10"/>
      <c r="D866" s="10"/>
    </row>
    <row r="867">
      <c r="A867" s="46"/>
      <c r="B867" s="10"/>
      <c r="C867" s="10"/>
      <c r="D867" s="10"/>
    </row>
    <row r="868">
      <c r="A868" s="46"/>
      <c r="B868" s="10"/>
      <c r="C868" s="10"/>
      <c r="D868" s="10"/>
    </row>
    <row r="869">
      <c r="A869" s="46"/>
      <c r="B869" s="10"/>
      <c r="C869" s="10"/>
      <c r="D869" s="10"/>
    </row>
    <row r="870">
      <c r="A870" s="46"/>
      <c r="B870" s="10"/>
      <c r="C870" s="10"/>
      <c r="D870" s="10"/>
    </row>
    <row r="871">
      <c r="A871" s="46"/>
      <c r="B871" s="10"/>
      <c r="C871" s="10"/>
      <c r="D871" s="10"/>
    </row>
    <row r="872">
      <c r="A872" s="46"/>
      <c r="B872" s="10"/>
      <c r="C872" s="10"/>
      <c r="D872" s="10"/>
    </row>
    <row r="873">
      <c r="A873" s="46"/>
      <c r="B873" s="10"/>
      <c r="C873" s="10"/>
      <c r="D873" s="10"/>
    </row>
    <row r="874">
      <c r="A874" s="46"/>
      <c r="B874" s="10"/>
      <c r="C874" s="10"/>
      <c r="D874" s="10"/>
    </row>
    <row r="875">
      <c r="A875" s="46"/>
      <c r="B875" s="10"/>
      <c r="C875" s="10"/>
      <c r="D875" s="10"/>
    </row>
    <row r="876">
      <c r="A876" s="46"/>
      <c r="B876" s="10"/>
      <c r="C876" s="10"/>
      <c r="D876" s="10"/>
    </row>
    <row r="877">
      <c r="A877" s="46"/>
      <c r="B877" s="10"/>
      <c r="C877" s="10"/>
      <c r="D877" s="10"/>
    </row>
    <row r="878">
      <c r="A878" s="46"/>
      <c r="B878" s="10"/>
      <c r="C878" s="10"/>
      <c r="D878" s="10"/>
    </row>
    <row r="879">
      <c r="A879" s="46"/>
      <c r="B879" s="10"/>
      <c r="C879" s="10"/>
      <c r="D879" s="10"/>
    </row>
    <row r="880">
      <c r="A880" s="46"/>
      <c r="B880" s="10"/>
      <c r="C880" s="10"/>
      <c r="D880" s="10"/>
    </row>
    <row r="881">
      <c r="A881" s="46"/>
      <c r="B881" s="10"/>
      <c r="C881" s="10"/>
      <c r="D881" s="10"/>
    </row>
    <row r="882">
      <c r="A882" s="46"/>
      <c r="B882" s="10"/>
      <c r="C882" s="10"/>
      <c r="D882" s="10"/>
    </row>
    <row r="883">
      <c r="A883" s="46"/>
      <c r="B883" s="10"/>
      <c r="C883" s="10"/>
      <c r="D883" s="10"/>
    </row>
    <row r="884">
      <c r="A884" s="46"/>
      <c r="B884" s="10"/>
      <c r="C884" s="10"/>
      <c r="D884" s="10"/>
    </row>
    <row r="885">
      <c r="A885" s="46"/>
      <c r="B885" s="10"/>
      <c r="C885" s="10"/>
      <c r="D885" s="10"/>
    </row>
    <row r="886">
      <c r="A886" s="46"/>
      <c r="B886" s="10"/>
      <c r="C886" s="10"/>
      <c r="D886" s="10"/>
    </row>
    <row r="887">
      <c r="A887" s="46"/>
      <c r="B887" s="10"/>
      <c r="C887" s="10"/>
      <c r="D887" s="10"/>
    </row>
    <row r="888">
      <c r="A888" s="46"/>
      <c r="B888" s="10"/>
      <c r="C888" s="10"/>
      <c r="D888" s="10"/>
    </row>
    <row r="889">
      <c r="A889" s="46"/>
      <c r="B889" s="10"/>
      <c r="C889" s="10"/>
      <c r="D889" s="10"/>
    </row>
    <row r="890">
      <c r="A890" s="46"/>
      <c r="B890" s="10"/>
      <c r="C890" s="10"/>
      <c r="D890" s="10"/>
    </row>
    <row r="891">
      <c r="A891" s="46"/>
      <c r="B891" s="10"/>
      <c r="C891" s="10"/>
      <c r="D891" s="10"/>
    </row>
    <row r="892">
      <c r="A892" s="46"/>
      <c r="B892" s="10"/>
      <c r="C892" s="10"/>
      <c r="D892" s="10"/>
    </row>
    <row r="893">
      <c r="A893" s="46"/>
      <c r="B893" s="10"/>
      <c r="C893" s="10"/>
      <c r="D893" s="10"/>
    </row>
    <row r="894">
      <c r="A894" s="46"/>
      <c r="B894" s="10"/>
      <c r="C894" s="10"/>
      <c r="D894" s="10"/>
    </row>
    <row r="895">
      <c r="A895" s="46"/>
      <c r="B895" s="10"/>
      <c r="C895" s="10"/>
      <c r="D895" s="10"/>
    </row>
    <row r="896">
      <c r="A896" s="46"/>
      <c r="B896" s="10"/>
      <c r="C896" s="10"/>
      <c r="D896" s="10"/>
    </row>
    <row r="897">
      <c r="A897" s="46"/>
      <c r="B897" s="10"/>
      <c r="C897" s="10"/>
      <c r="D897" s="10"/>
    </row>
    <row r="898">
      <c r="A898" s="46"/>
      <c r="B898" s="10"/>
      <c r="C898" s="10"/>
      <c r="D898" s="10"/>
    </row>
    <row r="899">
      <c r="A899" s="46"/>
      <c r="B899" s="10"/>
      <c r="C899" s="10"/>
      <c r="D899" s="10"/>
    </row>
    <row r="900">
      <c r="A900" s="46"/>
      <c r="B900" s="10"/>
      <c r="C900" s="10"/>
      <c r="D900" s="10"/>
    </row>
    <row r="901">
      <c r="A901" s="46"/>
      <c r="B901" s="10"/>
      <c r="C901" s="10"/>
      <c r="D901" s="10"/>
    </row>
    <row r="902">
      <c r="A902" s="46"/>
      <c r="B902" s="10"/>
      <c r="C902" s="10"/>
      <c r="D902" s="10"/>
    </row>
    <row r="903">
      <c r="A903" s="46"/>
      <c r="B903" s="10"/>
      <c r="C903" s="10"/>
      <c r="D903" s="10"/>
    </row>
    <row r="904">
      <c r="A904" s="46"/>
      <c r="B904" s="10"/>
      <c r="C904" s="10"/>
      <c r="D904" s="10"/>
    </row>
    <row r="905">
      <c r="A905" s="46"/>
      <c r="B905" s="10"/>
      <c r="C905" s="10"/>
      <c r="D905" s="10"/>
    </row>
    <row r="906">
      <c r="A906" s="46"/>
      <c r="B906" s="10"/>
      <c r="C906" s="10"/>
      <c r="D906" s="10"/>
    </row>
    <row r="907">
      <c r="A907" s="46"/>
      <c r="B907" s="10"/>
      <c r="C907" s="10"/>
      <c r="D907" s="10"/>
    </row>
    <row r="908">
      <c r="A908" s="46"/>
      <c r="B908" s="10"/>
      <c r="C908" s="10"/>
      <c r="D908" s="10"/>
    </row>
    <row r="909">
      <c r="A909" s="46"/>
      <c r="B909" s="10"/>
      <c r="C909" s="10"/>
      <c r="D909" s="10"/>
    </row>
    <row r="910">
      <c r="A910" s="46"/>
      <c r="B910" s="10"/>
      <c r="C910" s="10"/>
      <c r="D910" s="10"/>
    </row>
    <row r="911">
      <c r="A911" s="46"/>
      <c r="B911" s="10"/>
      <c r="C911" s="10"/>
      <c r="D911" s="10"/>
    </row>
    <row r="912">
      <c r="A912" s="46"/>
      <c r="B912" s="10"/>
      <c r="C912" s="10"/>
      <c r="D912" s="10"/>
    </row>
    <row r="913">
      <c r="A913" s="46"/>
      <c r="B913" s="10"/>
      <c r="C913" s="10"/>
      <c r="D913" s="10"/>
    </row>
    <row r="914">
      <c r="A914" s="46"/>
      <c r="B914" s="10"/>
      <c r="C914" s="10"/>
      <c r="D914" s="10"/>
    </row>
    <row r="915">
      <c r="A915" s="46"/>
      <c r="B915" s="10"/>
      <c r="C915" s="10"/>
      <c r="D915" s="10"/>
    </row>
    <row r="916">
      <c r="A916" s="46"/>
      <c r="B916" s="10"/>
      <c r="C916" s="10"/>
      <c r="D916" s="10"/>
    </row>
    <row r="917">
      <c r="A917" s="46"/>
      <c r="B917" s="10"/>
      <c r="C917" s="10"/>
      <c r="D917" s="10"/>
    </row>
    <row r="918">
      <c r="A918" s="46"/>
      <c r="B918" s="10"/>
      <c r="C918" s="10"/>
      <c r="D918" s="10"/>
    </row>
    <row r="919">
      <c r="A919" s="46"/>
      <c r="B919" s="10"/>
      <c r="C919" s="10"/>
      <c r="D919" s="10"/>
    </row>
    <row r="920">
      <c r="A920" s="46"/>
      <c r="B920" s="10"/>
      <c r="C920" s="10"/>
      <c r="D920" s="10"/>
    </row>
    <row r="921">
      <c r="A921" s="46"/>
      <c r="B921" s="10"/>
      <c r="C921" s="10"/>
      <c r="D921" s="10"/>
    </row>
    <row r="922">
      <c r="A922" s="46"/>
      <c r="B922" s="10"/>
      <c r="C922" s="10"/>
      <c r="D922" s="10"/>
    </row>
    <row r="923">
      <c r="A923" s="46"/>
      <c r="B923" s="10"/>
      <c r="C923" s="10"/>
      <c r="D923" s="10"/>
    </row>
    <row r="924">
      <c r="A924" s="46"/>
      <c r="B924" s="10"/>
      <c r="C924" s="10"/>
      <c r="D924" s="10"/>
    </row>
    <row r="925">
      <c r="A925" s="46"/>
      <c r="B925" s="10"/>
      <c r="C925" s="10"/>
      <c r="D925" s="10"/>
    </row>
    <row r="926">
      <c r="A926" s="46"/>
      <c r="B926" s="10"/>
      <c r="C926" s="10"/>
      <c r="D926" s="10"/>
    </row>
    <row r="927">
      <c r="A927" s="46"/>
      <c r="B927" s="10"/>
      <c r="C927" s="10"/>
      <c r="D927" s="10"/>
    </row>
    <row r="928">
      <c r="A928" s="46"/>
      <c r="B928" s="10"/>
      <c r="C928" s="10"/>
      <c r="D928" s="10"/>
    </row>
    <row r="929">
      <c r="A929" s="46"/>
      <c r="B929" s="10"/>
      <c r="C929" s="10"/>
      <c r="D929" s="10"/>
    </row>
    <row r="930">
      <c r="A930" s="46"/>
      <c r="B930" s="10"/>
      <c r="C930" s="10"/>
      <c r="D930" s="10"/>
    </row>
    <row r="931">
      <c r="A931" s="46"/>
      <c r="B931" s="10"/>
      <c r="C931" s="10"/>
      <c r="D931" s="10"/>
    </row>
    <row r="932">
      <c r="A932" s="46"/>
      <c r="B932" s="10"/>
      <c r="C932" s="10"/>
      <c r="D932" s="10"/>
    </row>
    <row r="933">
      <c r="A933" s="46"/>
      <c r="B933" s="10"/>
      <c r="C933" s="10"/>
      <c r="D933" s="10"/>
    </row>
    <row r="934">
      <c r="A934" s="46"/>
      <c r="B934" s="10"/>
      <c r="C934" s="10"/>
      <c r="D934" s="10"/>
    </row>
    <row r="935">
      <c r="A935" s="46"/>
      <c r="B935" s="10"/>
      <c r="C935" s="10"/>
      <c r="D935" s="10"/>
    </row>
    <row r="936">
      <c r="A936" s="46"/>
      <c r="B936" s="10"/>
      <c r="C936" s="10"/>
      <c r="D936" s="10"/>
    </row>
    <row r="937">
      <c r="A937" s="46"/>
      <c r="B937" s="10"/>
      <c r="C937" s="10"/>
      <c r="D937" s="10"/>
    </row>
    <row r="938">
      <c r="A938" s="46"/>
      <c r="B938" s="10"/>
      <c r="C938" s="10"/>
      <c r="D938" s="10"/>
    </row>
    <row r="939">
      <c r="A939" s="46"/>
      <c r="B939" s="10"/>
      <c r="C939" s="10"/>
      <c r="D939" s="10"/>
    </row>
    <row r="940">
      <c r="A940" s="46"/>
      <c r="B940" s="10"/>
      <c r="C940" s="10"/>
      <c r="D940" s="10"/>
    </row>
    <row r="941">
      <c r="A941" s="46"/>
      <c r="B941" s="10"/>
      <c r="C941" s="10"/>
      <c r="D941" s="10"/>
    </row>
    <row r="942">
      <c r="A942" s="46"/>
      <c r="B942" s="10"/>
      <c r="C942" s="10"/>
      <c r="D942" s="10"/>
    </row>
    <row r="943">
      <c r="A943" s="46"/>
      <c r="B943" s="10"/>
      <c r="C943" s="10"/>
      <c r="D943" s="10"/>
    </row>
    <row r="944">
      <c r="A944" s="46"/>
      <c r="B944" s="10"/>
      <c r="C944" s="10"/>
      <c r="D944" s="10"/>
    </row>
    <row r="945">
      <c r="A945" s="46"/>
      <c r="B945" s="10"/>
      <c r="C945" s="10"/>
      <c r="D945" s="10"/>
    </row>
    <row r="946">
      <c r="A946" s="46"/>
      <c r="B946" s="10"/>
      <c r="C946" s="10"/>
      <c r="D946" s="10"/>
    </row>
    <row r="947">
      <c r="A947" s="46"/>
      <c r="B947" s="10"/>
      <c r="C947" s="10"/>
      <c r="D947" s="10"/>
    </row>
    <row r="948">
      <c r="A948" s="46"/>
      <c r="B948" s="10"/>
      <c r="C948" s="10"/>
      <c r="D948" s="10"/>
    </row>
    <row r="949">
      <c r="A949" s="46"/>
      <c r="B949" s="10"/>
      <c r="C949" s="10"/>
      <c r="D949" s="10"/>
    </row>
    <row r="950">
      <c r="A950" s="46"/>
      <c r="B950" s="10"/>
      <c r="C950" s="10"/>
      <c r="D950" s="10"/>
    </row>
    <row r="951">
      <c r="A951" s="46"/>
      <c r="B951" s="10"/>
      <c r="C951" s="10"/>
      <c r="D951" s="10"/>
    </row>
    <row r="952">
      <c r="A952" s="46"/>
      <c r="B952" s="10"/>
      <c r="C952" s="10"/>
      <c r="D952" s="10"/>
    </row>
    <row r="953">
      <c r="A953" s="46"/>
      <c r="B953" s="10"/>
      <c r="C953" s="10"/>
      <c r="D953" s="10"/>
    </row>
    <row r="954">
      <c r="A954" s="46"/>
      <c r="B954" s="10"/>
      <c r="C954" s="10"/>
      <c r="D954" s="10"/>
    </row>
    <row r="955">
      <c r="A955" s="46"/>
      <c r="B955" s="10"/>
      <c r="C955" s="10"/>
      <c r="D955" s="10"/>
    </row>
    <row r="956">
      <c r="A956" s="46"/>
      <c r="B956" s="10"/>
      <c r="C956" s="10"/>
      <c r="D956" s="10"/>
    </row>
    <row r="957">
      <c r="A957" s="46"/>
      <c r="B957" s="10"/>
      <c r="C957" s="10"/>
      <c r="D957" s="10"/>
    </row>
    <row r="958">
      <c r="A958" s="46"/>
      <c r="B958" s="10"/>
      <c r="C958" s="10"/>
      <c r="D958" s="10"/>
    </row>
    <row r="959">
      <c r="A959" s="46"/>
      <c r="B959" s="10"/>
      <c r="C959" s="10"/>
      <c r="D959" s="10"/>
    </row>
    <row r="960">
      <c r="A960" s="46"/>
      <c r="B960" s="10"/>
      <c r="C960" s="10"/>
      <c r="D960" s="10"/>
    </row>
    <row r="961">
      <c r="A961" s="46"/>
      <c r="B961" s="10"/>
      <c r="C961" s="10"/>
      <c r="D961" s="10"/>
    </row>
    <row r="962">
      <c r="A962" s="46"/>
      <c r="B962" s="10"/>
      <c r="C962" s="10"/>
      <c r="D962" s="10"/>
    </row>
    <row r="963">
      <c r="A963" s="46"/>
      <c r="B963" s="10"/>
      <c r="C963" s="10"/>
      <c r="D963" s="10"/>
    </row>
    <row r="964">
      <c r="A964" s="46"/>
      <c r="B964" s="10"/>
      <c r="C964" s="10"/>
      <c r="D964" s="10"/>
    </row>
    <row r="965">
      <c r="A965" s="46"/>
      <c r="B965" s="10"/>
      <c r="C965" s="10"/>
      <c r="D965" s="10"/>
    </row>
    <row r="966">
      <c r="A966" s="46"/>
      <c r="B966" s="10"/>
      <c r="C966" s="10"/>
      <c r="D966" s="10"/>
    </row>
    <row r="967">
      <c r="A967" s="46"/>
      <c r="B967" s="10"/>
      <c r="C967" s="10"/>
      <c r="D967" s="10"/>
    </row>
    <row r="968">
      <c r="A968" s="46"/>
      <c r="B968" s="10"/>
      <c r="C968" s="10"/>
      <c r="D968" s="10"/>
    </row>
    <row r="969">
      <c r="A969" s="46"/>
      <c r="B969" s="10"/>
      <c r="C969" s="10"/>
      <c r="D969" s="10"/>
    </row>
    <row r="970">
      <c r="A970" s="46"/>
      <c r="B970" s="10"/>
      <c r="C970" s="10"/>
      <c r="D970" s="10"/>
    </row>
    <row r="971">
      <c r="A971" s="46"/>
      <c r="B971" s="10"/>
      <c r="C971" s="10"/>
      <c r="D971" s="10"/>
    </row>
    <row r="972">
      <c r="A972" s="46"/>
      <c r="B972" s="10"/>
      <c r="C972" s="10"/>
      <c r="D972" s="10"/>
    </row>
    <row r="973">
      <c r="A973" s="46"/>
      <c r="B973" s="10"/>
      <c r="C973" s="10"/>
      <c r="D973" s="10"/>
    </row>
    <row r="974">
      <c r="A974" s="46"/>
      <c r="B974" s="10"/>
      <c r="C974" s="10"/>
      <c r="D974" s="10"/>
    </row>
    <row r="975">
      <c r="A975" s="46"/>
      <c r="B975" s="10"/>
      <c r="C975" s="10"/>
      <c r="D975" s="10"/>
    </row>
    <row r="976">
      <c r="A976" s="46"/>
      <c r="B976" s="10"/>
      <c r="C976" s="10"/>
      <c r="D976" s="10"/>
    </row>
    <row r="977">
      <c r="A977" s="46"/>
      <c r="B977" s="10"/>
      <c r="C977" s="10"/>
      <c r="D977" s="10"/>
    </row>
    <row r="978">
      <c r="A978" s="46"/>
      <c r="B978" s="10"/>
      <c r="C978" s="10"/>
      <c r="D978" s="10"/>
    </row>
    <row r="979">
      <c r="A979" s="46"/>
      <c r="B979" s="10"/>
      <c r="C979" s="10"/>
      <c r="D979" s="10"/>
    </row>
    <row r="980">
      <c r="A980" s="46"/>
      <c r="B980" s="10"/>
      <c r="C980" s="10"/>
      <c r="D980" s="10"/>
    </row>
    <row r="981">
      <c r="A981" s="46"/>
      <c r="B981" s="10"/>
      <c r="C981" s="10"/>
      <c r="D981" s="10"/>
    </row>
    <row r="982">
      <c r="A982" s="46"/>
      <c r="B982" s="10"/>
      <c r="C982" s="10"/>
      <c r="D982" s="10"/>
    </row>
    <row r="983">
      <c r="A983" s="46"/>
      <c r="B983" s="10"/>
      <c r="C983" s="10"/>
      <c r="D983" s="10"/>
    </row>
    <row r="984">
      <c r="A984" s="46"/>
      <c r="B984" s="10"/>
      <c r="C984" s="10"/>
      <c r="D984" s="10"/>
    </row>
    <row r="985">
      <c r="A985" s="46"/>
      <c r="B985" s="10"/>
      <c r="C985" s="10"/>
      <c r="D985" s="10"/>
    </row>
    <row r="986">
      <c r="A986" s="46"/>
      <c r="B986" s="10"/>
      <c r="C986" s="10"/>
      <c r="D986" s="10"/>
    </row>
    <row r="987">
      <c r="A987" s="46"/>
      <c r="B987" s="10"/>
      <c r="C987" s="10"/>
      <c r="D987" s="10"/>
    </row>
    <row r="988">
      <c r="A988" s="46"/>
      <c r="B988" s="10"/>
      <c r="C988" s="10"/>
      <c r="D988" s="10"/>
    </row>
    <row r="989">
      <c r="A989" s="46"/>
      <c r="B989" s="10"/>
      <c r="C989" s="10"/>
      <c r="D989" s="10"/>
    </row>
    <row r="990">
      <c r="A990" s="46"/>
      <c r="B990" s="10"/>
      <c r="C990" s="10"/>
      <c r="D990" s="10"/>
    </row>
    <row r="991">
      <c r="A991" s="46"/>
      <c r="B991" s="10"/>
      <c r="C991" s="10"/>
      <c r="D991" s="10"/>
    </row>
    <row r="992">
      <c r="A992" s="46"/>
      <c r="B992" s="10"/>
      <c r="C992" s="10"/>
      <c r="D992" s="10"/>
    </row>
    <row r="993">
      <c r="A993" s="46"/>
      <c r="B993" s="10"/>
      <c r="C993" s="10"/>
      <c r="D993" s="10"/>
    </row>
    <row r="994">
      <c r="A994" s="46"/>
      <c r="B994" s="10"/>
      <c r="C994" s="10"/>
      <c r="D994" s="10"/>
    </row>
    <row r="995">
      <c r="A995" s="46"/>
      <c r="B995" s="10"/>
      <c r="C995" s="10"/>
      <c r="D995" s="10"/>
    </row>
    <row r="996">
      <c r="A996" s="46"/>
      <c r="B996" s="10"/>
      <c r="C996" s="10"/>
      <c r="D996" s="10"/>
    </row>
    <row r="997">
      <c r="A997" s="46"/>
      <c r="B997" s="10"/>
      <c r="C997" s="10"/>
      <c r="D997" s="10"/>
    </row>
    <row r="998">
      <c r="A998" s="46"/>
      <c r="B998" s="10"/>
      <c r="C998" s="10"/>
      <c r="D998" s="10"/>
    </row>
    <row r="999">
      <c r="A999" s="46"/>
      <c r="B999" s="10"/>
      <c r="C999" s="10"/>
      <c r="D999" s="10"/>
    </row>
    <row r="1000">
      <c r="A1000" s="46"/>
      <c r="B1000" s="10"/>
      <c r="C1000" s="10"/>
      <c r="D1000" s="10"/>
    </row>
    <row r="1001">
      <c r="A1001" s="46"/>
      <c r="B1001" s="10"/>
      <c r="C1001" s="10"/>
      <c r="D1001" s="1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2025-04-16T18:06:49Z</dcterms:created>
</cp:coreProperties>
</file>